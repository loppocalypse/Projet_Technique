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vent\Desktop\Projet\Bachelor 2026-2027\"/>
    </mc:Choice>
  </mc:AlternateContent>
  <xr:revisionPtr revIDLastSave="0" documentId="13_ncr:1_{6855E3C6-D030-4070-8CDD-86C7A47EDE70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Relevé équipe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8" i="1"/>
  <c r="B17" i="1"/>
  <c r="B16" i="1"/>
  <c r="J8" i="1"/>
  <c r="J7" i="1"/>
  <c r="J6" i="1"/>
  <c r="J5" i="1"/>
  <c r="B19" i="1" l="1"/>
</calcChain>
</file>

<file path=xl/sharedStrings.xml><?xml version="1.0" encoding="utf-8"?>
<sst xmlns="http://schemas.openxmlformats.org/spreadsheetml/2006/main" count="31" uniqueCount="30">
  <si>
    <t>Chaque membre complète sa ligne (cellules jaunes). La dernière colonne se calcule seule à partir des seuils ci-dessous.</t>
  </si>
  <si>
    <t>Membre</t>
  </si>
  <si>
    <t>Marque et modèle</t>
  </si>
  <si>
    <t>Système et version</t>
  </si>
  <si>
    <t>Processeur</t>
  </si>
  <si>
    <t>Architecture</t>
  </si>
  <si>
    <t>RAM (Go)</t>
  </si>
  <si>
    <t>Stockage libre (Go)</t>
  </si>
  <si>
    <t>Virtualisation activée</t>
  </si>
  <si>
    <t>Droits administrateur</t>
  </si>
  <si>
    <t>Conforme au minimum client ?</t>
  </si>
  <si>
    <t>Windows 11 Famille 23H2</t>
  </si>
  <si>
    <t>x86-64</t>
  </si>
  <si>
    <t>Oui</t>
  </si>
  <si>
    <t>Seuils minimaux (donnés par le client)</t>
  </si>
  <si>
    <t>RAM minimale (Go)</t>
  </si>
  <si>
    <t>← à compléter après la réunion avec le client (séance 1)</t>
  </si>
  <si>
    <t>Stockage libre minimal (Go)</t>
  </si>
  <si>
    <t>Synthèse de l'équipe</t>
  </si>
  <si>
    <t>Nombre de postes relevés (hors exemple)</t>
  </si>
  <si>
    <t>Postes ARM (Mac à puce Apple…)</t>
  </si>
  <si>
    <t>Postes avec virtualisation désactivée ou inconnue</t>
  </si>
  <si>
    <t>Postes non conformes au minimum client</t>
  </si>
  <si>
    <t>RAM minimale observée (Go)</t>
  </si>
  <si>
    <t>MSI Katana 15 B13V</t>
  </si>
  <si>
    <t>Intel Core i7 13620H</t>
  </si>
  <si>
    <t>Eren ASLAN</t>
  </si>
  <si>
    <t>Dymitro DUDAR</t>
  </si>
  <si>
    <t>Maxime ROPARS</t>
  </si>
  <si>
    <t>Relevé des caractéristiques matérielles  Équipe : Bug Smashers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</si>
</sst>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i/>
      <sz val="11"/>
      <color rgb="FF7F7F7F"/>
      <name val="Calibri"/>
      <family val="2"/>
      <scheme val="minor"/>
    </font>
    <font>
      <sz val="11"/>
      <name val="Century"/>
      <family val="1"/>
    </font>
    <font>
      <b/>
      <sz val="14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33333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Font="1" applyBorder="1"/>
    <xf numFmtId="0" fontId="2" fillId="0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/>
    <xf numFmtId="0" fontId="3" fillId="2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B3D1"/>
      <rgbColor rgb="FF7F7F7F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9" sqref="L9"/>
    </sheetView>
  </sheetViews>
  <sheetFormatPr defaultColWidth="8.6640625" defaultRowHeight="14.4" x14ac:dyDescent="0.3"/>
  <cols>
    <col min="1" max="1" width="47.5546875" bestFit="1" customWidth="1"/>
    <col min="2" max="2" width="22" customWidth="1"/>
    <col min="3" max="4" width="24" customWidth="1"/>
    <col min="5" max="5" width="13" customWidth="1"/>
    <col min="6" max="6" width="10" customWidth="1"/>
    <col min="7" max="7" width="13" customWidth="1"/>
    <col min="8" max="9" width="14" customWidth="1"/>
    <col min="10" max="10" width="20" customWidth="1"/>
  </cols>
  <sheetData>
    <row r="1" spans="1:10" ht="40.200000000000003" customHeight="1" x14ac:dyDescent="0.3">
      <c r="A1" s="7" t="s">
        <v>29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40.200000000000003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ht="21.75" customHeight="1" x14ac:dyDescent="0.3">
      <c r="A5" s="4" t="s">
        <v>26</v>
      </c>
      <c r="B5" s="4" t="s">
        <v>24</v>
      </c>
      <c r="C5" s="4" t="s">
        <v>11</v>
      </c>
      <c r="D5" s="4" t="s">
        <v>25</v>
      </c>
      <c r="E5" s="3" t="s">
        <v>12</v>
      </c>
      <c r="F5" s="3">
        <v>32</v>
      </c>
      <c r="G5" s="3">
        <v>668</v>
      </c>
      <c r="H5" s="3" t="s">
        <v>13</v>
      </c>
      <c r="I5" s="3" t="s">
        <v>13</v>
      </c>
      <c r="J5" s="5" t="str">
        <f>IF(OR(F5="",G5=""),"",IF(AND(F5&gt;=$B$12,G5&gt;=$B$13,H5&lt;&gt;"Non",I5="Oui"),"Oui","Non — à signaler"))</f>
        <v>Oui</v>
      </c>
    </row>
    <row r="6" spans="1:10" ht="21.75" customHeight="1" x14ac:dyDescent="0.3">
      <c r="A6" s="4" t="s">
        <v>27</v>
      </c>
      <c r="B6" s="4"/>
      <c r="C6" s="4"/>
      <c r="D6" s="4"/>
      <c r="E6" s="3"/>
      <c r="F6" s="3"/>
      <c r="G6" s="3"/>
      <c r="H6" s="3"/>
      <c r="I6" s="3"/>
      <c r="J6" s="5" t="str">
        <f>IF(OR(F6="",G6=""),"",IF(AND(F6&gt;=$B$12,G6&gt;=$B$13,H6&lt;&gt;"Non",I6="Oui"),"Oui","Non — à signaler"))</f>
        <v/>
      </c>
    </row>
    <row r="7" spans="1:10" ht="21.75" customHeight="1" x14ac:dyDescent="0.3">
      <c r="A7" s="4" t="s">
        <v>28</v>
      </c>
      <c r="B7" s="4"/>
      <c r="C7" s="4"/>
      <c r="D7" s="4"/>
      <c r="E7" s="3"/>
      <c r="F7" s="3"/>
      <c r="G7" s="3"/>
      <c r="H7" s="3"/>
      <c r="I7" s="3"/>
      <c r="J7" s="5" t="str">
        <f>IF(OR(F7="",G7=""),"",IF(AND(F7&gt;=$B$12,G7&gt;=$B$13,H7&lt;&gt;"Non",I7="Oui"),"Oui","Non — à signaler"))</f>
        <v/>
      </c>
    </row>
    <row r="8" spans="1:10" ht="21.75" customHeight="1" x14ac:dyDescent="0.3">
      <c r="A8" s="4"/>
      <c r="B8" s="4"/>
      <c r="C8" s="4"/>
      <c r="D8" s="4"/>
      <c r="E8" s="3"/>
      <c r="F8" s="3"/>
      <c r="G8" s="3"/>
      <c r="H8" s="3"/>
      <c r="I8" s="3"/>
      <c r="J8" s="5" t="str">
        <f>IF(OR(F8="",G8=""),"",IF(AND(F8&gt;=$B$12,G8&gt;=$B$13,H8&lt;&gt;"Non",I8="Oui"),"Oui","Non — à signaler"))</f>
        <v/>
      </c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6" t="s">
        <v>14</v>
      </c>
      <c r="B11" s="6"/>
      <c r="C11" s="6"/>
      <c r="D11" s="6"/>
      <c r="E11" s="6"/>
      <c r="F11" s="1"/>
      <c r="G11" s="1"/>
      <c r="H11" s="1"/>
      <c r="I11" s="1"/>
      <c r="J11" s="1"/>
    </row>
    <row r="12" spans="1:10" x14ac:dyDescent="0.3">
      <c r="A12" s="6" t="s">
        <v>15</v>
      </c>
      <c r="B12" s="6"/>
      <c r="C12" s="6" t="s">
        <v>16</v>
      </c>
      <c r="D12" s="6"/>
      <c r="E12" s="6"/>
      <c r="F12" s="1"/>
      <c r="G12" s="1"/>
      <c r="H12" s="1"/>
      <c r="I12" s="1"/>
      <c r="J12" s="1"/>
    </row>
    <row r="13" spans="1:10" x14ac:dyDescent="0.3">
      <c r="A13" s="6" t="s">
        <v>17</v>
      </c>
      <c r="B13" s="6"/>
      <c r="C13" s="6"/>
      <c r="D13" s="6"/>
      <c r="E13" s="6"/>
      <c r="F13" s="1"/>
      <c r="G13" s="1"/>
      <c r="H13" s="1"/>
      <c r="I13" s="1"/>
      <c r="J13" s="1"/>
    </row>
    <row r="14" spans="1:10" x14ac:dyDescent="0.3">
      <c r="A14" s="6"/>
      <c r="B14" s="6"/>
      <c r="C14" s="6"/>
      <c r="D14" s="6"/>
      <c r="E14" s="6"/>
      <c r="F14" s="1"/>
      <c r="G14" s="1"/>
      <c r="H14" s="1"/>
      <c r="I14" s="1"/>
      <c r="J14" s="1"/>
    </row>
    <row r="15" spans="1:10" x14ac:dyDescent="0.3">
      <c r="A15" s="6" t="s">
        <v>18</v>
      </c>
      <c r="B15" s="6"/>
      <c r="C15" s="6"/>
      <c r="D15" s="6"/>
      <c r="E15" s="6"/>
      <c r="F15" s="1"/>
      <c r="G15" s="1"/>
      <c r="H15" s="1"/>
      <c r="I15" s="1"/>
      <c r="J15" s="1"/>
    </row>
    <row r="16" spans="1:10" x14ac:dyDescent="0.3">
      <c r="A16" s="6" t="s">
        <v>19</v>
      </c>
      <c r="B16" s="2">
        <f>COUNTA(A5:A8)</f>
        <v>3</v>
      </c>
      <c r="C16" s="6"/>
      <c r="D16" s="6"/>
      <c r="E16" s="6"/>
      <c r="F16" s="1"/>
      <c r="G16" s="1"/>
      <c r="H16" s="1"/>
      <c r="I16" s="1"/>
      <c r="J16" s="1"/>
    </row>
    <row r="17" spans="1:10" x14ac:dyDescent="0.3">
      <c r="A17" s="6" t="s">
        <v>20</v>
      </c>
      <c r="B17" s="2">
        <f>COUNTIF(E5:E8,"ARM")</f>
        <v>0</v>
      </c>
      <c r="C17" s="6"/>
      <c r="D17" s="6"/>
      <c r="E17" s="6"/>
      <c r="F17" s="1"/>
      <c r="G17" s="1"/>
      <c r="H17" s="1"/>
      <c r="I17" s="1"/>
      <c r="J17" s="1"/>
    </row>
    <row r="18" spans="1:10" x14ac:dyDescent="0.3">
      <c r="A18" s="6" t="s">
        <v>21</v>
      </c>
      <c r="B18" s="2">
        <f>COUNTIF(H5:H8,"Non")+COUNTIF(H5:H8,"Inconnu")</f>
        <v>0</v>
      </c>
      <c r="C18" s="6"/>
      <c r="D18" s="6"/>
      <c r="E18" s="6"/>
      <c r="F18" s="1"/>
      <c r="G18" s="1"/>
      <c r="H18" s="1"/>
      <c r="I18" s="1"/>
      <c r="J18" s="1"/>
    </row>
    <row r="19" spans="1:10" x14ac:dyDescent="0.3">
      <c r="A19" s="6" t="s">
        <v>22</v>
      </c>
      <c r="B19" s="2">
        <f>COUNTIF(J5:J8,"Non*")</f>
        <v>0</v>
      </c>
      <c r="C19" s="6"/>
      <c r="D19" s="6"/>
      <c r="E19" s="6"/>
      <c r="F19" s="1"/>
      <c r="G19" s="1"/>
      <c r="H19" s="1"/>
      <c r="I19" s="1"/>
      <c r="J19" s="1"/>
    </row>
    <row r="20" spans="1:10" x14ac:dyDescent="0.3">
      <c r="A20" s="6" t="s">
        <v>23</v>
      </c>
      <c r="B20" s="2">
        <f>IF(COUNT(F5:F8)=0,"",MIN(F5:F8))</f>
        <v>32</v>
      </c>
      <c r="C20" s="6"/>
      <c r="D20" s="6"/>
      <c r="E20" s="6"/>
      <c r="F20" s="1"/>
      <c r="G20" s="1"/>
      <c r="H20" s="1"/>
      <c r="I20" s="1"/>
      <c r="J20" s="1"/>
    </row>
  </sheetData>
  <mergeCells count="2">
    <mergeCell ref="A1:J1"/>
    <mergeCell ref="A2:J2"/>
  </mergeCells>
  <conditionalFormatting sqref="E5:E8">
    <cfRule type="expression" dxfId="2" priority="4">
      <formula>E5="ARM"</formula>
    </cfRule>
  </conditionalFormatting>
  <conditionalFormatting sqref="J5:J8">
    <cfRule type="expression" dxfId="1" priority="2">
      <formula>LEFT(J5,3)="Non"</formula>
    </cfRule>
    <cfRule type="expression" dxfId="0" priority="3">
      <formula>J5="Oui"</formula>
    </cfRule>
  </conditionalFormatting>
  <dataValidations count="4">
    <dataValidation type="list" allowBlank="1" sqref="E5:E8" xr:uid="{00000000-0002-0000-0000-000000000000}">
      <formula1>"x86-64,ARM,Inconnu"</formula1>
      <formula2>0</formula2>
    </dataValidation>
    <dataValidation type="list" allowBlank="1" sqref="H5:H8" xr:uid="{00000000-0002-0000-0000-000001000000}">
      <formula1>"Oui,Non,Inconnu"</formula1>
      <formula2>0</formula2>
    </dataValidation>
    <dataValidation type="list" allowBlank="1" sqref="I5:I8" xr:uid="{00000000-0002-0000-0000-000002000000}">
      <formula1>"Oui,Non"</formula1>
      <formula2>0</formula2>
    </dataValidation>
    <dataValidation type="decimal" allowBlank="1" sqref="F5:G8" xr:uid="{00000000-0002-0000-0000-000003000000}">
      <formula1>0</formula1>
      <formula2>4096</formula2>
    </dataValidation>
  </dataValidations>
  <pageMargins left="0.75" right="0.75" top="1" bottom="1" header="0.511811023622047" footer="0.5"/>
  <pageSetup orientation="landscape" horizontalDpi="300" verticalDpi="300"/>
  <headerFooter>
    <oddFooter>&amp;LM. Moundzeki — Campus La Salle Issy-les-Moulineaux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équipe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Ridvan Eren ASLAN</cp:lastModifiedBy>
  <cp:revision>0</cp:revision>
  <dcterms:created xsi:type="dcterms:W3CDTF">2026-09-30T15:01:25Z</dcterms:created>
  <dcterms:modified xsi:type="dcterms:W3CDTF">2026-10-14T12:09:26Z</dcterms:modified>
  <dc:language>en-US</dc:language>
</cp:coreProperties>
</file>