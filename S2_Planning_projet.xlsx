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vent\Desktop\Projet\Bachelor 2026-2027\"/>
    </mc:Choice>
  </mc:AlternateContent>
  <xr:revisionPtr revIDLastSave="0" documentId="13_ncr:1_{8264840C-390A-438D-BE36-743E0E466E11}" xr6:coauthVersionLast="47" xr6:coauthVersionMax="47" xr10:uidLastSave="{00000000-0000-0000-0000-000000000000}"/>
  <bookViews>
    <workbookView xWindow="-108" yWindow="-108" windowWidth="30936" windowHeight="16776" tabRatio="500" activeTab="1" xr2:uid="{00000000-000D-0000-FFFF-FFFF00000000}"/>
  </bookViews>
  <sheets>
    <sheet name="Mode d'emploi" sheetId="1" r:id="rId1"/>
    <sheet name="Synthèse" sheetId="2" r:id="rId2"/>
    <sheet name="Listes" sheetId="3" state="hidden" r:id="rId3"/>
    <sheet name="Équipe" sheetId="4" r:id="rId4"/>
    <sheet name="Tâches" sheetId="5" r:id="rId5"/>
    <sheet name="Gantt" sheetId="6" r:id="rId6"/>
    <sheet name="Jalons" sheetId="7" r:id="rId7"/>
    <sheet name="RACI" sheetId="8" r:id="rId8"/>
    <sheet name="Risqu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6" l="1"/>
  <c r="D4" i="8"/>
  <c r="E6" i="6"/>
  <c r="B6" i="2"/>
  <c r="B7" i="2" s="1"/>
  <c r="H16" i="9"/>
  <c r="I16" i="9" s="1"/>
  <c r="H15" i="9"/>
  <c r="I15" i="9" s="1"/>
  <c r="H14" i="9"/>
  <c r="I14" i="9" s="1"/>
  <c r="H13" i="9"/>
  <c r="I13" i="9" s="1"/>
  <c r="H12" i="9"/>
  <c r="I12" i="9" s="1"/>
  <c r="H11" i="9"/>
  <c r="I11" i="9" s="1"/>
  <c r="H10" i="9"/>
  <c r="I10" i="9" s="1"/>
  <c r="H9" i="9"/>
  <c r="I9" i="9" s="1"/>
  <c r="H8" i="9"/>
  <c r="I8" i="9" s="1"/>
  <c r="H7" i="9"/>
  <c r="I7" i="9" s="1"/>
  <c r="H6" i="9"/>
  <c r="I6" i="9" s="1"/>
  <c r="H5" i="9"/>
  <c r="I5" i="9" s="1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F4" i="8"/>
  <c r="E4" i="8"/>
  <c r="C4" i="8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63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N9" i="6"/>
  <c r="M9" i="6"/>
  <c r="L9" i="6"/>
  <c r="K9" i="6"/>
  <c r="J9" i="6"/>
  <c r="I9" i="6"/>
  <c r="H9" i="6"/>
  <c r="G9" i="6"/>
  <c r="F9" i="6"/>
  <c r="E9" i="6"/>
  <c r="D9" i="6"/>
  <c r="B9" i="6"/>
  <c r="A9" i="6"/>
  <c r="N8" i="6"/>
  <c r="M8" i="6"/>
  <c r="L8" i="6"/>
  <c r="K8" i="6"/>
  <c r="J8" i="6"/>
  <c r="I8" i="6"/>
  <c r="H8" i="6"/>
  <c r="G8" i="6"/>
  <c r="F8" i="6"/>
  <c r="E8" i="6"/>
  <c r="D8" i="6"/>
  <c r="B8" i="6"/>
  <c r="A8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N6" i="6"/>
  <c r="M6" i="6"/>
  <c r="L6" i="6"/>
  <c r="K6" i="6"/>
  <c r="J6" i="6"/>
  <c r="I6" i="6"/>
  <c r="H6" i="6"/>
  <c r="G6" i="6"/>
  <c r="F6" i="6"/>
  <c r="D6" i="6"/>
  <c r="C6" i="6"/>
  <c r="B6" i="6"/>
  <c r="A6" i="6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G8" i="4"/>
  <c r="F8" i="4"/>
  <c r="F7" i="4"/>
  <c r="G7" i="4" s="1"/>
  <c r="F6" i="4"/>
  <c r="G6" i="4" s="1"/>
  <c r="F5" i="4"/>
  <c r="G5" i="4" s="1"/>
  <c r="B24" i="2"/>
  <c r="C24" i="2" s="1"/>
  <c r="B22" i="2"/>
  <c r="C22" i="2" s="1"/>
  <c r="B21" i="2"/>
  <c r="C21" i="2" s="1"/>
  <c r="B20" i="2"/>
  <c r="C20" i="2" s="1"/>
  <c r="B19" i="2"/>
  <c r="C19" i="2" s="1"/>
  <c r="B16" i="2"/>
  <c r="B15" i="2"/>
  <c r="B14" i="2"/>
  <c r="B13" i="2"/>
  <c r="B12" i="2"/>
  <c r="B10" i="2"/>
  <c r="C10" i="2" s="1"/>
  <c r="B8" i="2"/>
  <c r="B17" i="2" s="1"/>
  <c r="B23" i="2" l="1"/>
  <c r="C23" i="2" s="1"/>
  <c r="I65" i="5"/>
  <c r="B9" i="2"/>
  <c r="C9" i="2" s="1"/>
</calcChain>
</file>

<file path=xl/sharedStrings.xml><?xml version="1.0" encoding="utf-8"?>
<sst xmlns="http://schemas.openxmlformats.org/spreadsheetml/2006/main" count="238" uniqueCount="210">
  <si>
    <t>Séance 2 · un seul classeur par équipe, déposé dans l'espace partagé</t>
  </si>
  <si>
    <t>Couleurs</t>
  </si>
  <si>
    <t>Cellules jaunes = à saisir. Chiffres bleus = valeurs que vous pouvez modifier. Cellules blanches = calculées automatiquement, ne pas modifier.</t>
  </si>
  <si>
    <t>1. Équipe</t>
  </si>
  <si>
    <t>Nom de l'équipe, membres, rôles, e-mails et lien du Kanban (tableau de suivi des tâches). Les noms saisis ici alimentent les listes déroulantes « Responsable ».</t>
  </si>
  <si>
    <t>2. Tâches</t>
  </si>
  <si>
    <t>Le WBS (organigramme des tâches) : une ligne par tâche, avec son lot, sa formulation (verbe + objet), son livrable vérifiable, un responsable unique, les trois estimations (optimiste, probable, pessimiste), les séances de début et de fin (1 à 10), les prédécesseurs et le statut. L'estimation retenue = (O + 4P + Pe) / 6 est calculée.</t>
  </si>
  <si>
    <t>3. Gantt (planning en barres)</t>
  </si>
  <si>
    <t>Rien à saisir : les barres se dessinent à partir des séances de début et de fin. Bleu = planifiée, vert = terminée. La ligne des jalons est en haut.</t>
  </si>
  <si>
    <t>4. Jalons</t>
  </si>
  <si>
    <t>Saisissez les dates des séances et, au fil du projet, si chaque jalon est atteint.</t>
  </si>
  <si>
    <t>5. RACI (Réalise, Approuve, Consulté, Informé)</t>
  </si>
  <si>
    <t>Pour chaque lot (et quelques tâches clés) : R réalise, A approuve (un seul par ligne), C consulté, I informé. A/R si la même personne approuve et réalise.</t>
  </si>
  <si>
    <t>6. Risques</t>
  </si>
  <si>
    <t>Probabilité et impact de 1 à 4 ; la criticité et le niveau sont calculés. Criticité ≥ 6 : actions préventive et corrective obligatoires.</t>
  </si>
  <si>
    <t>7. Synthèse</t>
  </si>
  <si>
    <t>Tableau de bord de l'équipe : charge totale, capacité, avancement, alertes. À consulter au début et à la fin de chaque séance.</t>
  </si>
  <si>
    <t>Tableau de bord de l'équipe</t>
  </si>
  <si>
    <t>À consulter au début et à la fin de chaque séance</t>
  </si>
  <si>
    <t>CHARGE</t>
  </si>
  <si>
    <t>Nombre de membres</t>
  </si>
  <si>
    <t>Capacité totale de l'équipe (h·personne)</t>
  </si>
  <si>
    <t>Capacité planifiable (70 %)</t>
  </si>
  <si>
    <t>Charge totale estimée (h·personne)</t>
  </si>
  <si>
    <t>Charge / capacité planifiable</t>
  </si>
  <si>
    <t>Écart de charge entre membres (h)</t>
  </si>
  <si>
    <t>AVANCEMENT</t>
  </si>
  <si>
    <t>Nombre de tâches</t>
  </si>
  <si>
    <t>Tâches « À faire »</t>
  </si>
  <si>
    <t>Tâches « En cours »</t>
  </si>
  <si>
    <t>Tâches « À vérifier »</t>
  </si>
  <si>
    <t>Tâches « Terminé »</t>
  </si>
  <si>
    <t>Avancement (en heures terminées)</t>
  </si>
  <si>
    <t>CONTRÔLES (doivent être à 0)</t>
  </si>
  <si>
    <t>Tâches sans responsable</t>
  </si>
  <si>
    <t>Tâches non estimées</t>
  </si>
  <si>
    <t>Tâches de plus de 4 h</t>
  </si>
  <si>
    <t>Tâches sans séance de début ou de fin</t>
  </si>
  <si>
    <t>Lots RACI non conformes</t>
  </si>
  <si>
    <t>Risques critiques (≥ 6) sans action préventive</t>
  </si>
  <si>
    <t>L1 Gestion de projet</t>
  </si>
  <si>
    <t>À faire</t>
  </si>
  <si>
    <t>L2 Analyse du besoin</t>
  </si>
  <si>
    <t>En cours</t>
  </si>
  <si>
    <t>L3 Préparation des postes</t>
  </si>
  <si>
    <t>À vérifier</t>
  </si>
  <si>
    <t>L4 Environnement de test Linux</t>
  </si>
  <si>
    <t>Terminé</t>
  </si>
  <si>
    <t>L5 Environnement de développement</t>
  </si>
  <si>
    <t>L6 Documentation et collaboration</t>
  </si>
  <si>
    <t>L7 Tests et vérification</t>
  </si>
  <si>
    <t>L8 Clôture et soutenance</t>
  </si>
  <si>
    <t>Équipe</t>
  </si>
  <si>
    <t>Une ligne par membre. La charge planifiée est calculée à partir de l'onglet Tâches.</t>
  </si>
  <si>
    <t>Nom de l'équipe</t>
  </si>
  <si>
    <t>Membre (prénom NOM)</t>
  </si>
  <si>
    <t>Rôle S1 à S5</t>
  </si>
  <si>
    <t>Rôle S6 à S10</t>
  </si>
  <si>
    <t>E-mail</t>
  </si>
  <si>
    <t>Capacité (h)</t>
  </si>
  <si>
    <t>Charge planifiée (h)</t>
  </si>
  <si>
    <t>Taux de charge</t>
  </si>
  <si>
    <t>Lien du Kanban (tableau de suivi des tâches)</t>
  </si>
  <si>
    <t>Lien de l'espace partagé</t>
  </si>
  <si>
    <t>Tâches du projet (WBS, organigramme des tâches)</t>
  </si>
  <si>
    <t>Une tâche = un verbe d'action + un objet, un responsable unique, entre 0,5 h et 4 h. Estimation = (O + 4P + Pe) / 6, en h·personne.</t>
  </si>
  <si>
    <t>Code WBS (organigramme des tâches)</t>
  </si>
  <si>
    <t>Lot</t>
  </si>
  <si>
    <t>Tâche (verbe + objet)</t>
  </si>
  <si>
    <t>Livrable / résultat vérifiable</t>
  </si>
  <si>
    <t>Responsable</t>
  </si>
  <si>
    <t>Optimiste (h)</t>
  </si>
  <si>
    <t>Probable (h)</t>
  </si>
  <si>
    <t>Pessimiste (h)</t>
  </si>
  <si>
    <t>Estimation (h)</t>
  </si>
  <si>
    <t>Séance début</t>
  </si>
  <si>
    <t>Séance fin</t>
  </si>
  <si>
    <t>Prédécesseur(s)</t>
  </si>
  <si>
    <t>Statut</t>
  </si>
  <si>
    <t>Remarques</t>
  </si>
  <si>
    <t>1.1</t>
  </si>
  <si>
    <t>Rédiger la note de cadrage</t>
  </si>
  <si>
    <t>Note de cadrage validée (J1)</t>
  </si>
  <si>
    <t>2.1, 2.4</t>
  </si>
  <si>
    <t>2.1</t>
  </si>
  <si>
    <t>Analyser la commande du client</t>
  </si>
  <si>
    <t>Tableau des besoins et contraintes</t>
  </si>
  <si>
    <t>2.2</t>
  </si>
  <si>
    <t>Relever le matériel de l'équipe</t>
  </si>
  <si>
    <t>Fichier de relevé complété</t>
  </si>
  <si>
    <t>2.3</t>
  </si>
  <si>
    <t>Réaliser la veille sur les outils</t>
  </si>
  <si>
    <t>Tableau de veille</t>
  </si>
  <si>
    <t>2.4</t>
  </si>
  <si>
    <t>Rédiger la fiche d'expression du besoin</t>
  </si>
  <si>
    <t>Fiche d'expression du besoin</t>
  </si>
  <si>
    <t>TOTAL</t>
  </si>
  <si>
    <t>En rouge : tâche de plus de 4 h (à découper), séance de fin avant la séance de début, ou tâche sans responsable.</t>
  </si>
  <si>
    <t>Diagramme de Gantt (par séance)</t>
  </si>
  <si>
    <t>Calculé automatiquement à partir de l'onglet Tâches. Bleu = planifiée · vert = terminée · ◆ = jalon.</t>
  </si>
  <si>
    <t>Code</t>
  </si>
  <si>
    <t>Tâche</t>
  </si>
  <si>
    <t>◆ Jalons</t>
  </si>
  <si>
    <t>◆ J1</t>
  </si>
  <si>
    <t>◆ J2</t>
  </si>
  <si>
    <t>◆ J3</t>
  </si>
  <si>
    <t>◆ J4</t>
  </si>
  <si>
    <t>◆ J5</t>
  </si>
  <si>
    <t>Jalons du projet</t>
  </si>
  <si>
    <t>Les jalons sont imposés. Saisissez les dates et, au fil du projet, s'ils sont atteints.</t>
  </si>
  <si>
    <t>Jalon</t>
  </si>
  <si>
    <t>Séance</t>
  </si>
  <si>
    <t>Date prévue</t>
  </si>
  <si>
    <t>Critère de validation</t>
  </si>
  <si>
    <t>Atteint ?</t>
  </si>
  <si>
    <t>Date réelle</t>
  </si>
  <si>
    <t>J1</t>
  </si>
  <si>
    <t>Cadrage validé</t>
  </si>
  <si>
    <t>S2</t>
  </si>
  <si>
    <t>Note de cadrage validée, Kanban (tableau de suivi des tâches) et planning en place, enseignant invité</t>
  </si>
  <si>
    <t>J2</t>
  </si>
  <si>
    <t>Poste de développement opérationnel</t>
  </si>
  <si>
    <t>S5</t>
  </si>
  <si>
    <t>Chaque membre écrit et exécute un programme dans l'environnement de test</t>
  </si>
  <si>
    <t>J3</t>
  </si>
  <si>
    <t>Revue intermédiaire</t>
  </si>
  <si>
    <t>S8</t>
  </si>
  <si>
    <t>Procédure complète testée par un autre groupe, fiche de retour reçue</t>
  </si>
  <si>
    <t>J4</t>
  </si>
  <si>
    <t>Livraison</t>
  </si>
  <si>
    <t>Fin S9</t>
  </si>
  <si>
    <t>Procédure finale, retour d'expérience et support de présentation déposés</t>
  </si>
  <si>
    <t>J5</t>
  </si>
  <si>
    <t>Soutenance</t>
  </si>
  <si>
    <t>S10</t>
  </si>
  <si>
    <t>Démonstration réalisée, auto-évaluations remises</t>
  </si>
  <si>
    <t>Matrice des responsabilités RACI (Réalise, Approuve, Consulté, Informé)</t>
  </si>
  <si>
    <t>R = réalise · A = approuve (exactement un par ligne) · C = consulté · I = informé · A/R = approuve et réalise</t>
  </si>
  <si>
    <t>Lot ou tâche clé</t>
  </si>
  <si>
    <t>Contrôle</t>
  </si>
  <si>
    <t>L1</t>
  </si>
  <si>
    <t>Gestion de projet</t>
  </si>
  <si>
    <t>L2</t>
  </si>
  <si>
    <t>Analyse du besoin</t>
  </si>
  <si>
    <t>L3</t>
  </si>
  <si>
    <t>Préparation des postes</t>
  </si>
  <si>
    <t>L4</t>
  </si>
  <si>
    <t>Environnement de test Linux</t>
  </si>
  <si>
    <t>L5</t>
  </si>
  <si>
    <t>Environnement de développement</t>
  </si>
  <si>
    <t>L6</t>
  </si>
  <si>
    <t>Documentation et collaboration</t>
  </si>
  <si>
    <t>L7</t>
  </si>
  <si>
    <t>Tests et vérification</t>
  </si>
  <si>
    <t>L8</t>
  </si>
  <si>
    <t>Clôture et soutenance</t>
  </si>
  <si>
    <t>Lignes 13 à 20 : ajoutez au moins quatre tâches importantes (code et intitulé).</t>
  </si>
  <si>
    <t>Analyse des risques</t>
  </si>
  <si>
    <t>Criticité = probabilité × impact · Faible ≤ 3 · Moyen 4 à 8 · Élevé ≥ 9 · Criticité ≥ 6 : actions préventive ET corrective obligatoires</t>
  </si>
  <si>
    <t>N°</t>
  </si>
  <si>
    <t>Famille</t>
  </si>
  <si>
    <t>Risque (événement possible)</t>
  </si>
  <si>
    <t>Cause</t>
  </si>
  <si>
    <t>Conséquence pour le projet</t>
  </si>
  <si>
    <t>Probabilité (1-4)</t>
  </si>
  <si>
    <t>Impact (1-4)</t>
  </si>
  <si>
    <t>Criticité</t>
  </si>
  <si>
    <t>Niveau</t>
  </si>
  <si>
    <t>Action préventive</t>
  </si>
  <si>
    <t>Action corrective</t>
  </si>
  <si>
    <t>R1</t>
  </si>
  <si>
    <t>Matériel</t>
  </si>
  <si>
    <t>Un membre possède un Mac à puce Apple sur lequel un outil retenu ne fonctionne pas</t>
  </si>
  <si>
    <t>Outil disponible uniquement en version x86-64</t>
  </si>
  <si>
    <t>Le membre ne peut pas installer son poste ; retard sur J2</t>
  </si>
  <si>
    <t>Vérifier la compatibilité ARM de chaque outil pendant la veille</t>
  </si>
  <si>
    <t>Utiliser une alternative compatible ARM ; binôme sur un autre poste</t>
  </si>
  <si>
    <t>Surveillé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</si>
  <si>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</si>
  <si>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</si>
  <si>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</si>
  <si>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</si>
  <si>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</si>
  <si>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</si>
  <si>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</si>
  <si>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</si>
  <si>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</si>
  <si>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</si>
  <si>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</si>
  <si>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 est un exemple : adaptez-le ou remplacez-le. En rouge dans les colonnes Action : action obligatoire manquante.</t>
  </si>
  <si>
    <t>Classeur de planification : Projet NovaCode Studio</t>
  </si>
  <si>
    <t>Taux de charge en rouge : plus de 70 % de la capacité du membre est planifiée ( rééquilibrez).</t>
  </si>
  <si>
    <t>Eren ASLAN</t>
  </si>
  <si>
    <t>Chef du Projet</t>
  </si>
  <si>
    <t>Referent Technique</t>
  </si>
  <si>
    <t>Maxime ROPARS</t>
  </si>
  <si>
    <t>Redacteur</t>
  </si>
  <si>
    <t>erenaslan1782@gmail.com</t>
  </si>
  <si>
    <t>Chef de projet</t>
  </si>
  <si>
    <t>https://github.com/users/loppocalypse/projects/3/views/1</t>
  </si>
  <si>
    <t>https://github.com/loppocalypse/Projet_Technique</t>
  </si>
  <si>
    <t xml:space="preserve">Référent technique  </t>
  </si>
  <si>
    <t>maximeropars50@gmail.com</t>
  </si>
  <si>
    <t>A/R</t>
  </si>
  <si>
    <t>R</t>
  </si>
  <si>
    <t>Oui</t>
  </si>
  <si>
    <t>25/11/2026</t>
  </si>
  <si>
    <t>21/10/2026</t>
  </si>
  <si>
    <t>dmdu1014@eleve.isep.fr</t>
  </si>
  <si>
    <t>Dymitro DUDAR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</si>
</sst>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S0"/>
  </numFmts>
  <fonts count="17" x14ac:knownFonts="1">
    <font>
      <sz val="11"/>
      <color theme="1"/>
      <name val="Calibri"/>
      <family val="2"/>
      <charset val="1"/>
    </font>
    <font>
      <sz val="9"/>
      <color rgb="FF000000"/>
      <name val="Arial"/>
      <charset val="1"/>
    </font>
    <font>
      <i/>
      <sz val="8"/>
      <name val="Arial"/>
      <charset val="1"/>
    </font>
    <font>
      <i/>
      <sz val="11"/>
      <color rgb="FF7F7F7F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  <font>
      <b/>
      <sz val="12"/>
      <color theme="1"/>
      <name val="Century"/>
      <family val="1"/>
    </font>
    <font>
      <b/>
      <sz val="14"/>
      <color theme="0"/>
      <name val="Century"/>
      <family val="1"/>
    </font>
    <font>
      <sz val="11"/>
      <name val="Century"/>
      <family val="1"/>
    </font>
    <font>
      <b/>
      <sz val="11"/>
      <name val="Century"/>
      <family val="1"/>
    </font>
    <font>
      <b/>
      <sz val="14"/>
      <name val="Century"/>
      <family val="1"/>
    </font>
    <font>
      <b/>
      <sz val="12"/>
      <color theme="0"/>
      <name val="Century"/>
      <family val="1"/>
    </font>
    <font>
      <b/>
      <sz val="16"/>
      <name val="Century"/>
      <family val="1"/>
    </font>
    <font>
      <i/>
      <sz val="8"/>
      <name val="Arial"/>
      <family val="2"/>
    </font>
    <font>
      <i/>
      <sz val="11"/>
      <name val="Century"/>
      <family val="1"/>
    </font>
    <font>
      <b/>
      <sz val="18"/>
      <name val="Century"/>
      <family val="1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333333"/>
      </patternFill>
    </fill>
    <fill>
      <patternFill patternType="solid">
        <fgColor theme="5" tint="0.39997558519241921"/>
        <b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9DB3D1"/>
      </left>
      <right style="thin">
        <color rgb="FF9DB3D1"/>
      </right>
      <top style="thin">
        <color rgb="FF9DB3D1"/>
      </top>
      <bottom style="thin">
        <color rgb="FF9DB3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DB3D1"/>
      </left>
      <right style="thin">
        <color rgb="FF9DB3D1"/>
      </right>
      <top/>
      <bottom style="thin">
        <color rgb="FF9DB3D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0" borderId="2" xfId="1" applyFont="1" applyBorder="1"/>
    <xf numFmtId="0" fontId="5" fillId="0" borderId="2" xfId="1" applyFont="1" applyFill="1" applyBorder="1" applyAlignment="1">
      <alignment horizontal="left" vertical="center" wrapText="1"/>
    </xf>
    <xf numFmtId="0" fontId="8" fillId="0" borderId="2" xfId="1" applyFont="1" applyBorder="1"/>
    <xf numFmtId="1" fontId="8" fillId="0" borderId="2" xfId="1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2" xfId="1" applyFont="1" applyFill="1" applyBorder="1"/>
    <xf numFmtId="0" fontId="8" fillId="0" borderId="2" xfId="1" applyFont="1" applyFill="1" applyBorder="1" applyAlignment="1">
      <alignment horizontal="left" vertical="center" wrapText="1"/>
    </xf>
    <xf numFmtId="1" fontId="8" fillId="0" borderId="2" xfId="1" applyNumberFormat="1" applyFont="1" applyFill="1" applyBorder="1" applyAlignment="1">
      <alignment horizontal="center" vertical="center" wrapText="1"/>
    </xf>
    <xf numFmtId="164" fontId="8" fillId="0" borderId="2" xfId="1" applyNumberFormat="1" applyFont="1" applyFill="1" applyBorder="1" applyAlignment="1">
      <alignment horizontal="center" vertical="center" wrapText="1"/>
    </xf>
    <xf numFmtId="9" fontId="8" fillId="0" borderId="2" xfId="1" applyNumberFormat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13" fillId="0" borderId="0" xfId="0" applyFont="1"/>
    <xf numFmtId="0" fontId="8" fillId="0" borderId="0" xfId="0" applyFont="1"/>
    <xf numFmtId="0" fontId="14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8" fillId="0" borderId="2" xfId="1" applyFont="1" applyFill="1" applyBorder="1" applyAlignment="1">
      <alignment horizontal="center"/>
    </xf>
    <xf numFmtId="165" fontId="8" fillId="0" borderId="2" xfId="1" applyNumberFormat="1" applyFont="1" applyFill="1" applyBorder="1" applyAlignment="1">
      <alignment horizontal="center" vertical="center" wrapText="1"/>
    </xf>
    <xf numFmtId="14" fontId="8" fillId="0" borderId="2" xfId="1" applyNumberFormat="1" applyFont="1" applyFill="1" applyBorder="1" applyAlignment="1">
      <alignment horizontal="center" vertical="center" wrapText="1"/>
    </xf>
    <xf numFmtId="0" fontId="16" fillId="0" borderId="2" xfId="2" applyFill="1" applyBorder="1" applyAlignment="1">
      <alignment horizontal="left" vertical="center" wrapText="1"/>
    </xf>
    <xf numFmtId="0" fontId="8" fillId="7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vertical="center" wrapText="1" indent="1"/>
    </xf>
    <xf numFmtId="0" fontId="4" fillId="0" borderId="2" xfId="1" applyFont="1" applyBorder="1" applyAlignment="1">
      <alignment horizontal="left" vertical="center" wrapText="1"/>
    </xf>
    <xf numFmtId="0" fontId="6" fillId="0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/>
    </xf>
    <xf numFmtId="0" fontId="8" fillId="0" borderId="2" xfId="1" applyFont="1" applyFill="1" applyBorder="1"/>
    <xf numFmtId="0" fontId="12" fillId="4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vertical="center" wrapText="1" indent="1"/>
    </xf>
    <xf numFmtId="0" fontId="16" fillId="0" borderId="2" xfId="2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/>
    </xf>
  </cellXfs>
  <cellStyles count="3">
    <cellStyle name="Explanatory Text" xfId="1" builtinId="53"/>
    <cellStyle name="Hyperlink" xfId="2" builtinId="8"/>
    <cellStyle name="Normal" xfId="0" builtinId="0"/>
  </cellStyles>
  <dxfs count="17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color rgb="FF2E75B6"/>
      </font>
      <fill>
        <patternFill>
          <bgColor rgb="FF2E75B6"/>
        </patternFill>
      </fill>
    </dxf>
    <dxf>
      <font>
        <color rgb="FF70AD47"/>
      </font>
      <fill>
        <patternFill>
          <bgColor rgb="FF70AD47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9DB3D1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D966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loppocalypse/Projet_Technique" TargetMode="External"/><Relationship Id="rId2" Type="http://schemas.openxmlformats.org/officeDocument/2006/relationships/hyperlink" Target="https://github.com/users/loppocalypse/projects/3/views/1" TargetMode="External"/><Relationship Id="rId1" Type="http://schemas.openxmlformats.org/officeDocument/2006/relationships/hyperlink" Target="mailto:erenaslan1782@gmail.com" TargetMode="External"/><Relationship Id="rId5" Type="http://schemas.openxmlformats.org/officeDocument/2006/relationships/hyperlink" Target="mailto:dmdu1014@eleve.isep.fr" TargetMode="External"/><Relationship Id="rId4" Type="http://schemas.openxmlformats.org/officeDocument/2006/relationships/hyperlink" Target="mailto:maximeropars50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1"/>
  <sheetViews>
    <sheetView zoomScaleNormal="100" workbookViewId="0">
      <selection activeCell="B4" sqref="B4:C4"/>
    </sheetView>
  </sheetViews>
  <sheetFormatPr defaultColWidth="8.6640625" defaultRowHeight="14.4" x14ac:dyDescent="0.3"/>
  <cols>
    <col min="1" max="1" width="16" customWidth="1"/>
    <col min="2" max="2" width="80" customWidth="1"/>
    <col min="3" max="3" width="30" customWidth="1"/>
  </cols>
  <sheetData>
    <row r="1" spans="1:3" ht="27.75" customHeight="1" x14ac:dyDescent="0.3">
      <c r="A1" s="31" t="s">
        <v>190</v>
      </c>
      <c r="B1" s="31"/>
      <c r="C1" s="31"/>
    </row>
    <row r="2" spans="1:3" ht="30" customHeight="1" x14ac:dyDescent="0.3">
      <c r="A2" s="32" t="s">
        <v>0</v>
      </c>
      <c r="B2" s="32"/>
      <c r="C2" s="32"/>
    </row>
    <row r="3" spans="1:3" x14ac:dyDescent="0.3">
      <c r="A3" s="4"/>
      <c r="B3" s="4"/>
      <c r="C3" s="4"/>
    </row>
    <row r="4" spans="1:3" ht="42" customHeight="1" x14ac:dyDescent="0.3">
      <c r="A4" s="5" t="s">
        <v>1</v>
      </c>
      <c r="B4" s="30" t="s">
        <v>2</v>
      </c>
      <c r="C4" s="30"/>
    </row>
    <row r="5" spans="1:3" ht="42" customHeight="1" x14ac:dyDescent="0.3">
      <c r="A5" s="5" t="s">
        <v>3</v>
      </c>
      <c r="B5" s="30" t="s">
        <v>4</v>
      </c>
      <c r="C5" s="30"/>
    </row>
    <row r="6" spans="1:3" ht="42" customHeight="1" x14ac:dyDescent="0.3">
      <c r="A6" s="5" t="s">
        <v>5</v>
      </c>
      <c r="B6" s="30" t="s">
        <v>6</v>
      </c>
      <c r="C6" s="30"/>
    </row>
    <row r="7" spans="1:3" ht="56.4" customHeight="1" x14ac:dyDescent="0.3">
      <c r="A7" s="5" t="s">
        <v>7</v>
      </c>
      <c r="B7" s="30" t="s">
        <v>8</v>
      </c>
      <c r="C7" s="30"/>
    </row>
    <row r="8" spans="1:3" ht="42" customHeight="1" x14ac:dyDescent="0.3">
      <c r="A8" s="5" t="s">
        <v>9</v>
      </c>
      <c r="B8" s="30" t="s">
        <v>10</v>
      </c>
      <c r="C8" s="30"/>
    </row>
    <row r="9" spans="1:3" ht="69.599999999999994" customHeight="1" x14ac:dyDescent="0.3">
      <c r="A9" s="5" t="s">
        <v>11</v>
      </c>
      <c r="B9" s="30" t="s">
        <v>12</v>
      </c>
      <c r="C9" s="30"/>
    </row>
    <row r="10" spans="1:3" ht="42" customHeight="1" x14ac:dyDescent="0.3">
      <c r="A10" s="5" t="s">
        <v>13</v>
      </c>
      <c r="B10" s="30" t="s">
        <v>14</v>
      </c>
      <c r="C10" s="30"/>
    </row>
    <row r="11" spans="1:3" ht="42" customHeight="1" x14ac:dyDescent="0.3">
      <c r="A11" s="5" t="s">
        <v>15</v>
      </c>
      <c r="B11" s="30" t="s">
        <v>16</v>
      </c>
      <c r="C11" s="30"/>
    </row>
  </sheetData>
  <mergeCells count="10">
    <mergeCell ref="A1:C1"/>
    <mergeCell ref="A2:C2"/>
    <mergeCell ref="B4:C4"/>
    <mergeCell ref="B5:C5"/>
    <mergeCell ref="B6:C6"/>
    <mergeCell ref="B7:C7"/>
    <mergeCell ref="B8:C8"/>
    <mergeCell ref="B9:C9"/>
    <mergeCell ref="B10:C10"/>
    <mergeCell ref="B11:C11"/>
  </mergeCells>
  <pageMargins left="0.75" right="0.75" top="1" bottom="1" header="0.511811023622047" footer="0.5"/>
  <pageSetup fitToHeight="0" orientation="landscape" horizontalDpi="300" verticalDpi="300"/>
  <headerFooter>
    <oddFooter>&amp;LM. Moundzeki — Campus La Salle Issy-les-Moulineaux&amp;R&amp;A —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4"/>
  <sheetViews>
    <sheetView tabSelected="1" zoomScaleNormal="100" workbookViewId="0">
      <selection activeCell="B6" sqref="B6"/>
    </sheetView>
  </sheetViews>
  <sheetFormatPr defaultColWidth="8.6640625" defaultRowHeight="14.4" x14ac:dyDescent="0.3"/>
  <cols>
    <col min="1" max="1" width="46" customWidth="1"/>
    <col min="2" max="2" width="14" customWidth="1"/>
    <col min="3" max="3" width="52" customWidth="1"/>
  </cols>
  <sheetData>
    <row r="1" spans="1:3" ht="27.75" customHeight="1" x14ac:dyDescent="0.3">
      <c r="A1" s="33" t="s">
        <v>17</v>
      </c>
      <c r="B1" s="33"/>
      <c r="C1" s="33"/>
    </row>
    <row r="2" spans="1:3" ht="30" customHeight="1" x14ac:dyDescent="0.3">
      <c r="A2" s="34" t="s">
        <v>18</v>
      </c>
      <c r="B2" s="34"/>
      <c r="C2" s="34"/>
    </row>
    <row r="3" spans="1:3" x14ac:dyDescent="0.3">
      <c r="A3" s="6"/>
      <c r="B3" s="6"/>
      <c r="C3" s="6"/>
    </row>
    <row r="4" spans="1:3" x14ac:dyDescent="0.3">
      <c r="A4" s="35" t="s">
        <v>19</v>
      </c>
      <c r="B4" s="35"/>
      <c r="C4" s="35"/>
    </row>
    <row r="5" spans="1:3" ht="19.5" customHeight="1" x14ac:dyDescent="0.3">
      <c r="A5" s="10" t="s">
        <v>20</v>
      </c>
      <c r="B5" s="11">
        <v>3</v>
      </c>
      <c r="C5" s="9"/>
    </row>
    <row r="6" spans="1:3" ht="19.5" customHeight="1" x14ac:dyDescent="0.3">
      <c r="A6" s="10" t="s">
        <v>21</v>
      </c>
      <c r="B6" s="11">
        <f>SUM(Équipe!E5:E8)*(B5&gt;0)</f>
        <v>144</v>
      </c>
      <c r="C6" s="9"/>
    </row>
    <row r="7" spans="1:3" ht="19.5" customHeight="1" x14ac:dyDescent="0.3">
      <c r="A7" s="10" t="s">
        <v>22</v>
      </c>
      <c r="B7" s="12">
        <f>ROUND(B6*0.7,1)</f>
        <v>100.8</v>
      </c>
      <c r="C7" s="9"/>
    </row>
    <row r="8" spans="1:3" ht="19.5" customHeight="1" x14ac:dyDescent="0.3">
      <c r="A8" s="10" t="s">
        <v>23</v>
      </c>
      <c r="B8" s="12">
        <f>SUM(Tâches!$I$5:$I$64)</f>
        <v>14.8</v>
      </c>
      <c r="C8" s="9"/>
    </row>
    <row r="9" spans="1:3" ht="28.8" customHeight="1" x14ac:dyDescent="0.3">
      <c r="A9" s="10" t="s">
        <v>24</v>
      </c>
      <c r="B9" s="13">
        <f>IF(B7=0,"",B8/B7)</f>
        <v>0.14682539682539683</v>
      </c>
      <c r="C9" s="10" t="str">
        <f>IF(B9="","",IF(B9&gt;1,"Trop de travail planifié : réduisez ou simplifiez",IF(B9&lt;0.5,"Peu de tâches : le WBS (organigramme des tâches) est-il complet ?","Charge cohérente")))</f>
        <v>Peu de tâches : le WBS (organigramme des tâches) est-il complet ?</v>
      </c>
    </row>
    <row r="10" spans="1:3" ht="19.5" customHeight="1" x14ac:dyDescent="0.3">
      <c r="A10" s="10" t="s">
        <v>25</v>
      </c>
      <c r="B10" s="12" t="str">
        <f ca="1">IFERROR(_xludf.maxifs(Équipe!F5:F8,Équipe!A5:A8,"&lt;&gt;")-_xludf.minifs(Équipe!F5:F8,Équipe!A5:A8,"&lt;&gt;"),"")</f>
        <v/>
      </c>
      <c r="C10" s="10" t="str">
        <f ca="1">IF(B10="","",IF(B10&gt;6,"Répartition déséquilibrée : réaffectez des tâches","Répartition équilibrée"))</f>
        <v/>
      </c>
    </row>
    <row r="11" spans="1:3" x14ac:dyDescent="0.3">
      <c r="A11" s="36" t="s">
        <v>26</v>
      </c>
      <c r="B11" s="36"/>
      <c r="C11" s="36"/>
    </row>
    <row r="12" spans="1:3" ht="19.5" customHeight="1" x14ac:dyDescent="0.3">
      <c r="A12" s="10" t="s">
        <v>27</v>
      </c>
      <c r="B12" s="11">
        <f>COUNTA(Tâches!$C$5:$C$64)</f>
        <v>5</v>
      </c>
      <c r="C12" s="9"/>
    </row>
    <row r="13" spans="1:3" ht="19.5" customHeight="1" x14ac:dyDescent="0.3">
      <c r="A13" s="10" t="s">
        <v>28</v>
      </c>
      <c r="B13" s="11">
        <f>COUNTIF(Tâches!$M$5:$M$64,"À faire")</f>
        <v>0</v>
      </c>
      <c r="C13" s="9"/>
    </row>
    <row r="14" spans="1:3" ht="19.5" customHeight="1" x14ac:dyDescent="0.3">
      <c r="A14" s="10" t="s">
        <v>29</v>
      </c>
      <c r="B14" s="11">
        <f>COUNTIF(Tâches!$M$5:$M$64,"En cours")</f>
        <v>0</v>
      </c>
      <c r="C14" s="9"/>
    </row>
    <row r="15" spans="1:3" ht="19.5" customHeight="1" x14ac:dyDescent="0.3">
      <c r="A15" s="10" t="s">
        <v>30</v>
      </c>
      <c r="B15" s="11">
        <f>COUNTIF(Tâches!$M$5:$M$64,"À vérifier")</f>
        <v>0</v>
      </c>
      <c r="C15" s="9"/>
    </row>
    <row r="16" spans="1:3" ht="19.5" customHeight="1" x14ac:dyDescent="0.3">
      <c r="A16" s="10" t="s">
        <v>31</v>
      </c>
      <c r="B16" s="11">
        <f>COUNTIF(Tâches!$M$5:$M$64,"Terminé")</f>
        <v>5</v>
      </c>
      <c r="C16" s="9"/>
    </row>
    <row r="17" spans="1:3" ht="19.5" customHeight="1" x14ac:dyDescent="0.3">
      <c r="A17" s="10" t="s">
        <v>32</v>
      </c>
      <c r="B17" s="13">
        <f>IF(B8=0,"",SUMIF(Tâches!$M$5:$M$64,"Terminé",Tâches!$I$5:$I$64)/B8)</f>
        <v>1</v>
      </c>
      <c r="C17" s="9"/>
    </row>
    <row r="18" spans="1:3" x14ac:dyDescent="0.3">
      <c r="A18" s="35" t="s">
        <v>33</v>
      </c>
      <c r="B18" s="35"/>
      <c r="C18" s="35"/>
    </row>
    <row r="19" spans="1:3" ht="19.5" customHeight="1" x14ac:dyDescent="0.3">
      <c r="A19" s="10" t="s">
        <v>34</v>
      </c>
      <c r="B19" s="7">
        <f>COUNTIFS(Tâches!$C$5:$C$64,"&lt;&gt;",Tâches!$E$5:$E$64,"")</f>
        <v>0</v>
      </c>
      <c r="C19" s="8" t="str">
        <f t="shared" ref="C19:C24" si="0">IF(B19=0,"OK","À corriger")</f>
        <v>OK</v>
      </c>
    </row>
    <row r="20" spans="1:3" ht="19.5" customHeight="1" x14ac:dyDescent="0.3">
      <c r="A20" s="10" t="s">
        <v>35</v>
      </c>
      <c r="B20" s="7">
        <f>SUMPRODUCT((Tâches!$C$5:$C$64&lt;&gt;"")*(Tâches!$I$5:$I$64=""))</f>
        <v>0</v>
      </c>
      <c r="C20" s="8" t="str">
        <f t="shared" si="0"/>
        <v>OK</v>
      </c>
    </row>
    <row r="21" spans="1:3" ht="19.5" customHeight="1" x14ac:dyDescent="0.3">
      <c r="A21" s="10" t="s">
        <v>36</v>
      </c>
      <c r="B21" s="7">
        <f>COUNTIF(Tâches!$I$5:$I$64,"&gt;4")</f>
        <v>0</v>
      </c>
      <c r="C21" s="8" t="str">
        <f t="shared" si="0"/>
        <v>OK</v>
      </c>
    </row>
    <row r="22" spans="1:3" ht="19.5" customHeight="1" x14ac:dyDescent="0.3">
      <c r="A22" s="10" t="s">
        <v>37</v>
      </c>
      <c r="B22" s="7">
        <f>SUMPRODUCT((Tâches!$C$5:$C$64&lt;&gt;"")*(((Tâches!$J$5:$J$64)="")+((Tâches!$K$5:$K$64)="")&gt;0))</f>
        <v>0</v>
      </c>
      <c r="C22" s="8" t="str">
        <f t="shared" si="0"/>
        <v>OK</v>
      </c>
    </row>
    <row r="23" spans="1:3" ht="19.5" customHeight="1" x14ac:dyDescent="0.3">
      <c r="A23" s="10" t="s">
        <v>38</v>
      </c>
      <c r="B23" s="7">
        <f>COUNTIFS(RACI!G5:G20,"&lt;&gt;OK",RACI!G5:G20,"?*")</f>
        <v>0</v>
      </c>
      <c r="C23" s="8" t="str">
        <f t="shared" si="0"/>
        <v>OK</v>
      </c>
    </row>
    <row r="24" spans="1:3" ht="19.5" customHeight="1" x14ac:dyDescent="0.3">
      <c r="A24" s="10" t="s">
        <v>39</v>
      </c>
      <c r="B24" s="7">
        <f>COUNTIFS(Risques!H5:H16,"&gt;=6",Risques!J5:J16,"")</f>
        <v>0</v>
      </c>
      <c r="C24" s="8" t="str">
        <f t="shared" si="0"/>
        <v>OK</v>
      </c>
    </row>
  </sheetData>
  <mergeCells count="5">
    <mergeCell ref="A1:C1"/>
    <mergeCell ref="A2:C2"/>
    <mergeCell ref="A4:C4"/>
    <mergeCell ref="A11:C11"/>
    <mergeCell ref="A18:C18"/>
  </mergeCells>
  <conditionalFormatting sqref="C19:C24">
    <cfRule type="expression" dxfId="16" priority="2">
      <formula>C19="OK"</formula>
    </cfRule>
    <cfRule type="expression" dxfId="15" priority="3">
      <formula>C19="À corriger"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&amp;LM. Moundzeki — Campus La Salle Issy-les-Moulineaux&amp;R&amp;A —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"/>
  <sheetViews>
    <sheetView zoomScaleNormal="100" workbookViewId="0"/>
  </sheetViews>
  <sheetFormatPr defaultColWidth="8.6640625" defaultRowHeight="14.4" x14ac:dyDescent="0.3"/>
  <sheetData>
    <row r="2" spans="1:2" x14ac:dyDescent="0.3">
      <c r="A2" t="s">
        <v>40</v>
      </c>
      <c r="B2" t="s">
        <v>41</v>
      </c>
    </row>
    <row r="3" spans="1:2" x14ac:dyDescent="0.3">
      <c r="A3" t="s">
        <v>42</v>
      </c>
      <c r="B3" t="s">
        <v>43</v>
      </c>
    </row>
    <row r="4" spans="1:2" x14ac:dyDescent="0.3">
      <c r="A4" t="s">
        <v>44</v>
      </c>
      <c r="B4" t="s">
        <v>45</v>
      </c>
    </row>
    <row r="5" spans="1:2" x14ac:dyDescent="0.3">
      <c r="A5" t="s">
        <v>46</v>
      </c>
      <c r="B5" t="s">
        <v>47</v>
      </c>
    </row>
    <row r="6" spans="1:2" x14ac:dyDescent="0.3">
      <c r="A6" t="s">
        <v>48</v>
      </c>
    </row>
    <row r="7" spans="1:2" x14ac:dyDescent="0.3">
      <c r="A7" t="s">
        <v>49</v>
      </c>
    </row>
    <row r="8" spans="1:2" x14ac:dyDescent="0.3">
      <c r="A8" t="s">
        <v>50</v>
      </c>
    </row>
    <row r="9" spans="1:2" x14ac:dyDescent="0.3">
      <c r="A9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3"/>
  <sheetViews>
    <sheetView zoomScaleNormal="100" workbookViewId="0">
      <selection activeCell="B17" sqref="B17"/>
    </sheetView>
  </sheetViews>
  <sheetFormatPr defaultColWidth="8.6640625" defaultRowHeight="14.4" x14ac:dyDescent="0.3"/>
  <cols>
    <col min="1" max="1" width="26" customWidth="1"/>
    <col min="2" max="3" width="24" customWidth="1"/>
    <col min="4" max="4" width="30" customWidth="1"/>
    <col min="5" max="5" width="12" customWidth="1"/>
    <col min="6" max="6" width="14" customWidth="1"/>
    <col min="7" max="7" width="12" customWidth="1"/>
  </cols>
  <sheetData>
    <row r="1" spans="1:7" ht="27.75" customHeight="1" x14ac:dyDescent="0.3">
      <c r="A1" s="37" t="s">
        <v>52</v>
      </c>
      <c r="B1" s="37"/>
      <c r="C1" s="37"/>
      <c r="D1" s="37"/>
      <c r="E1" s="37"/>
      <c r="F1" s="37"/>
      <c r="G1" s="37"/>
    </row>
    <row r="2" spans="1:7" ht="30" customHeight="1" x14ac:dyDescent="0.3">
      <c r="A2" s="38" t="s">
        <v>53</v>
      </c>
      <c r="B2" s="38"/>
      <c r="C2" s="38"/>
      <c r="D2" s="38"/>
      <c r="E2" s="38"/>
      <c r="F2" s="38"/>
      <c r="G2" s="38"/>
    </row>
    <row r="3" spans="1:7" x14ac:dyDescent="0.3">
      <c r="A3" s="6" t="s">
        <v>54</v>
      </c>
      <c r="B3" s="10"/>
      <c r="C3" s="6"/>
      <c r="D3" s="6"/>
      <c r="E3" s="6"/>
      <c r="F3" s="6"/>
      <c r="G3" s="6"/>
    </row>
    <row r="4" spans="1:7" ht="31.5" customHeight="1" x14ac:dyDescent="0.3">
      <c r="A4" s="14" t="s">
        <v>55</v>
      </c>
      <c r="B4" s="14" t="s">
        <v>56</v>
      </c>
      <c r="C4" s="14" t="s">
        <v>57</v>
      </c>
      <c r="D4" s="14" t="s">
        <v>58</v>
      </c>
      <c r="E4" s="14" t="s">
        <v>59</v>
      </c>
      <c r="F4" s="14" t="s">
        <v>60</v>
      </c>
      <c r="G4" s="14" t="s">
        <v>61</v>
      </c>
    </row>
    <row r="5" spans="1:7" ht="21.75" customHeight="1" x14ac:dyDescent="0.3">
      <c r="A5" s="10" t="s">
        <v>192</v>
      </c>
      <c r="B5" s="10" t="s">
        <v>193</v>
      </c>
      <c r="C5" s="10" t="s">
        <v>201</v>
      </c>
      <c r="D5" s="27" t="s">
        <v>197</v>
      </c>
      <c r="E5" s="14">
        <v>36</v>
      </c>
      <c r="F5" s="12">
        <f>IF(A5="","",SUMIF(Tâches!$E$5:$E$64,A5,Tâches!$I$5:$I$64))</f>
        <v>5.4</v>
      </c>
      <c r="G5" s="13">
        <f>IF(OR(A5="",E5=0),"",F5/E5)</f>
        <v>0.15000000000000002</v>
      </c>
    </row>
    <row r="6" spans="1:7" ht="21.75" customHeight="1" x14ac:dyDescent="0.3">
      <c r="A6" s="10" t="s">
        <v>209</v>
      </c>
      <c r="B6" s="10" t="s">
        <v>194</v>
      </c>
      <c r="C6" s="10" t="s">
        <v>196</v>
      </c>
      <c r="D6" s="27" t="s">
        <v>208</v>
      </c>
      <c r="E6" s="14">
        <v>36</v>
      </c>
      <c r="F6" s="12">
        <f>IF(A6="","",SUMIF(Tâches!$E$5:$E$64,A6,Tâches!$I$5:$I$64))</f>
        <v>3</v>
      </c>
      <c r="G6" s="13">
        <f>IF(OR(A6="",E6=0),"",F6/E6)</f>
        <v>8.3333333333333329E-2</v>
      </c>
    </row>
    <row r="7" spans="1:7" ht="21.75" customHeight="1" x14ac:dyDescent="0.3">
      <c r="A7" s="10" t="s">
        <v>195</v>
      </c>
      <c r="B7" s="10" t="s">
        <v>196</v>
      </c>
      <c r="C7" s="10" t="s">
        <v>198</v>
      </c>
      <c r="D7" s="27" t="s">
        <v>202</v>
      </c>
      <c r="E7" s="14">
        <v>36</v>
      </c>
      <c r="F7" s="12">
        <f>IF(A7="","",SUMIF(Tâches!$E$5:$E$64,A7,Tâches!$I$5:$I$64))</f>
        <v>6.4</v>
      </c>
      <c r="G7" s="13">
        <f>IF(OR(A7="",E7=0),"",F7/E7)</f>
        <v>0.17777777777777778</v>
      </c>
    </row>
    <row r="8" spans="1:7" ht="21.75" customHeight="1" x14ac:dyDescent="0.3">
      <c r="A8" s="10"/>
      <c r="B8" s="10"/>
      <c r="C8" s="10"/>
      <c r="D8" s="10"/>
      <c r="E8" s="14">
        <v>36</v>
      </c>
      <c r="F8" s="12" t="str">
        <f>IF(A8="","",SUMIF(Tâches!$E$5:$E$64,A8,Tâches!$I$5:$I$64))</f>
        <v/>
      </c>
      <c r="G8" s="13" t="str">
        <f>IF(OR(A8="",E8=0),"",F8/E8)</f>
        <v/>
      </c>
    </row>
    <row r="9" spans="1:7" x14ac:dyDescent="0.3">
      <c r="A9" s="9"/>
      <c r="B9" s="9"/>
      <c r="C9" s="9"/>
      <c r="D9" s="9"/>
      <c r="E9" s="9"/>
      <c r="F9" s="9"/>
      <c r="G9" s="9"/>
    </row>
    <row r="10" spans="1:7" ht="27.6" x14ac:dyDescent="0.3">
      <c r="A10" s="10" t="s">
        <v>62</v>
      </c>
      <c r="B10" s="39" t="s">
        <v>199</v>
      </c>
      <c r="C10" s="40"/>
      <c r="D10" s="40"/>
      <c r="E10" s="40"/>
      <c r="F10" s="40"/>
      <c r="G10" s="40"/>
    </row>
    <row r="11" spans="1:7" x14ac:dyDescent="0.3">
      <c r="A11" s="10" t="s">
        <v>63</v>
      </c>
      <c r="B11" s="39" t="s">
        <v>200</v>
      </c>
      <c r="C11" s="40"/>
      <c r="D11" s="40"/>
      <c r="E11" s="40"/>
      <c r="F11" s="40"/>
      <c r="G11" s="40"/>
    </row>
    <row r="13" spans="1:7" x14ac:dyDescent="0.3">
      <c r="A13" s="15" t="s">
        <v>191</v>
      </c>
    </row>
  </sheetData>
  <mergeCells count="4">
    <mergeCell ref="A1:G1"/>
    <mergeCell ref="A2:G2"/>
    <mergeCell ref="B10:G10"/>
    <mergeCell ref="B11:G11"/>
  </mergeCells>
  <conditionalFormatting sqref="G5:G8">
    <cfRule type="expression" dxfId="14" priority="2">
      <formula>AND(ISNUMBER(G5),G5&gt;0.7)</formula>
    </cfRule>
  </conditionalFormatting>
  <dataValidations count="1">
    <dataValidation type="list" allowBlank="1" sqref="B5:C8" xr:uid="{00000000-0002-0000-0300-000000000000}">
      <formula1>"Chef de projet,Rédacteur,Référent technique,Responsable tests et qualité"</formula1>
      <formula2>0</formula2>
    </dataValidation>
  </dataValidations>
  <hyperlinks>
    <hyperlink ref="D5" r:id="rId1" xr:uid="{005E35DA-795E-4D07-B78B-AB997E8E141D}"/>
    <hyperlink ref="B10" r:id="rId2" xr:uid="{13B79908-F992-4A66-8A87-5ECFC2156B7C}"/>
    <hyperlink ref="B11" r:id="rId3" xr:uid="{C772EF2E-CEB3-4087-877D-6D1DB24417F0}"/>
    <hyperlink ref="D7" r:id="rId4" xr:uid="{F671C662-2025-4DC2-93C6-893365602FEE}"/>
    <hyperlink ref="D6" r:id="rId5" xr:uid="{290CB932-CA29-42F2-AB5F-C836308D12BE}"/>
  </hyperlinks>
  <pageMargins left="0.75" right="0.75" top="1" bottom="1" header="0.511811023622047" footer="0.5"/>
  <pageSetup fitToHeight="0" orientation="landscape" horizontalDpi="300" verticalDpi="300"/>
  <headerFooter>
    <oddFooter>&amp;LM. Moundzeki — Campus La Salle Issy-les-Moulineaux&amp;R&amp;A —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6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11" sqref="E11"/>
    </sheetView>
  </sheetViews>
  <sheetFormatPr defaultColWidth="8.6640625" defaultRowHeight="14.4" x14ac:dyDescent="0.3"/>
  <cols>
    <col min="1" max="1" width="14" customWidth="1"/>
    <col min="2" max="2" width="24" customWidth="1"/>
    <col min="3" max="3" width="38" customWidth="1"/>
    <col min="4" max="4" width="32" customWidth="1"/>
    <col min="5" max="5" width="18" customWidth="1"/>
    <col min="6" max="6" width="12.33203125" customWidth="1"/>
    <col min="7" max="7" width="13.6640625" customWidth="1"/>
    <col min="8" max="8" width="18.44140625" customWidth="1"/>
    <col min="9" max="9" width="15.109375" customWidth="1"/>
    <col min="10" max="11" width="8" customWidth="1"/>
    <col min="12" max="12" width="15.21875" customWidth="1"/>
    <col min="13" max="13" width="11" customWidth="1"/>
    <col min="14" max="14" width="26" customWidth="1"/>
  </cols>
  <sheetData>
    <row r="1" spans="1:14" ht="27.75" customHeight="1" x14ac:dyDescent="0.3">
      <c r="A1" s="41" t="s">
        <v>64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30" customHeight="1" x14ac:dyDescent="0.3">
      <c r="A2" s="42" t="s">
        <v>65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39.75" customHeight="1" x14ac:dyDescent="0.3">
      <c r="A4" s="18" t="s">
        <v>66</v>
      </c>
      <c r="B4" s="18" t="s">
        <v>67</v>
      </c>
      <c r="C4" s="18" t="s">
        <v>68</v>
      </c>
      <c r="D4" s="18" t="s">
        <v>69</v>
      </c>
      <c r="E4" s="18" t="s">
        <v>70</v>
      </c>
      <c r="F4" s="18" t="s">
        <v>71</v>
      </c>
      <c r="G4" s="18" t="s">
        <v>72</v>
      </c>
      <c r="H4" s="18" t="s">
        <v>73</v>
      </c>
      <c r="I4" s="18" t="s">
        <v>74</v>
      </c>
      <c r="J4" s="18" t="s">
        <v>75</v>
      </c>
      <c r="K4" s="18" t="s">
        <v>76</v>
      </c>
      <c r="L4" s="18" t="s">
        <v>77</v>
      </c>
      <c r="M4" s="18" t="s">
        <v>78</v>
      </c>
      <c r="N4" s="18" t="s">
        <v>79</v>
      </c>
    </row>
    <row r="5" spans="1:14" ht="19.5" customHeight="1" x14ac:dyDescent="0.3">
      <c r="A5" s="18" t="s">
        <v>80</v>
      </c>
      <c r="B5" s="19" t="s">
        <v>40</v>
      </c>
      <c r="C5" s="19" t="s">
        <v>81</v>
      </c>
      <c r="D5" s="19" t="s">
        <v>82</v>
      </c>
      <c r="E5" s="18" t="s">
        <v>192</v>
      </c>
      <c r="F5" s="18">
        <v>1.5</v>
      </c>
      <c r="G5" s="18">
        <v>2</v>
      </c>
      <c r="H5" s="18">
        <v>3</v>
      </c>
      <c r="I5" s="20">
        <f t="shared" ref="I5:I36" si="0">IF(COUNT(F5:H5)=3,ROUND((F5+4*G5+H5)/6,1),"")</f>
        <v>2.1</v>
      </c>
      <c r="J5" s="18">
        <v>2</v>
      </c>
      <c r="K5" s="18">
        <v>2</v>
      </c>
      <c r="L5" s="18" t="s">
        <v>83</v>
      </c>
      <c r="M5" s="18" t="s">
        <v>47</v>
      </c>
      <c r="N5" s="19"/>
    </row>
    <row r="6" spans="1:14" ht="27" customHeight="1" x14ac:dyDescent="0.3">
      <c r="A6" s="18" t="s">
        <v>84</v>
      </c>
      <c r="B6" s="19" t="s">
        <v>42</v>
      </c>
      <c r="C6" s="19" t="s">
        <v>85</v>
      </c>
      <c r="D6" s="19" t="s">
        <v>86</v>
      </c>
      <c r="E6" s="18" t="s">
        <v>195</v>
      </c>
      <c r="F6" s="18">
        <v>2</v>
      </c>
      <c r="G6" s="18">
        <v>3</v>
      </c>
      <c r="H6" s="18">
        <v>5</v>
      </c>
      <c r="I6" s="20">
        <f t="shared" si="0"/>
        <v>3.2</v>
      </c>
      <c r="J6" s="18">
        <v>1</v>
      </c>
      <c r="K6" s="18">
        <v>1</v>
      </c>
      <c r="L6" s="18"/>
      <c r="M6" s="18" t="s">
        <v>47</v>
      </c>
      <c r="N6" s="19"/>
    </row>
    <row r="7" spans="1:14" ht="19.5" customHeight="1" x14ac:dyDescent="0.3">
      <c r="A7" s="18" t="s">
        <v>87</v>
      </c>
      <c r="B7" s="19" t="s">
        <v>42</v>
      </c>
      <c r="C7" s="19" t="s">
        <v>88</v>
      </c>
      <c r="D7" s="19" t="s">
        <v>89</v>
      </c>
      <c r="E7" s="18" t="s">
        <v>209</v>
      </c>
      <c r="F7" s="18">
        <v>2</v>
      </c>
      <c r="G7" s="18">
        <v>3</v>
      </c>
      <c r="H7" s="18">
        <v>4</v>
      </c>
      <c r="I7" s="20">
        <f t="shared" si="0"/>
        <v>3</v>
      </c>
      <c r="J7" s="18">
        <v>1</v>
      </c>
      <c r="K7" s="18">
        <v>1</v>
      </c>
      <c r="L7" s="18"/>
      <c r="M7" s="18" t="s">
        <v>47</v>
      </c>
      <c r="N7" s="19"/>
    </row>
    <row r="8" spans="1:14" ht="19.5" customHeight="1" x14ac:dyDescent="0.3">
      <c r="A8" s="18" t="s">
        <v>90</v>
      </c>
      <c r="B8" s="19" t="s">
        <v>42</v>
      </c>
      <c r="C8" s="19" t="s">
        <v>91</v>
      </c>
      <c r="D8" s="19" t="s">
        <v>92</v>
      </c>
      <c r="E8" s="18" t="s">
        <v>192</v>
      </c>
      <c r="F8" s="18">
        <v>2</v>
      </c>
      <c r="G8" s="18">
        <v>3</v>
      </c>
      <c r="H8" s="18">
        <v>6</v>
      </c>
      <c r="I8" s="20">
        <f t="shared" si="0"/>
        <v>3.3</v>
      </c>
      <c r="J8" s="18">
        <v>1</v>
      </c>
      <c r="K8" s="18">
        <v>2</v>
      </c>
      <c r="L8" s="18" t="s">
        <v>84</v>
      </c>
      <c r="M8" s="18" t="s">
        <v>47</v>
      </c>
      <c r="N8" s="19"/>
    </row>
    <row r="9" spans="1:14" ht="19.5" customHeight="1" x14ac:dyDescent="0.3">
      <c r="A9" s="18" t="s">
        <v>93</v>
      </c>
      <c r="B9" s="19" t="s">
        <v>42</v>
      </c>
      <c r="C9" s="19" t="s">
        <v>94</v>
      </c>
      <c r="D9" s="19" t="s">
        <v>95</v>
      </c>
      <c r="E9" s="18" t="s">
        <v>195</v>
      </c>
      <c r="F9" s="18">
        <v>2</v>
      </c>
      <c r="G9" s="18">
        <v>3</v>
      </c>
      <c r="H9" s="18">
        <v>5</v>
      </c>
      <c r="I9" s="20">
        <f t="shared" si="0"/>
        <v>3.2</v>
      </c>
      <c r="J9" s="18">
        <v>1</v>
      </c>
      <c r="K9" s="18">
        <v>2</v>
      </c>
      <c r="L9" s="18" t="s">
        <v>84</v>
      </c>
      <c r="M9" s="18" t="s">
        <v>47</v>
      </c>
      <c r="N9" s="19"/>
    </row>
    <row r="10" spans="1:14" ht="19.5" customHeight="1" x14ac:dyDescent="0.3">
      <c r="A10" s="18"/>
      <c r="B10" s="19"/>
      <c r="C10" s="19"/>
      <c r="D10" s="19"/>
      <c r="E10" s="18"/>
      <c r="F10" s="18"/>
      <c r="G10" s="18"/>
      <c r="H10" s="18"/>
      <c r="I10" s="20" t="str">
        <f t="shared" si="0"/>
        <v/>
      </c>
      <c r="J10" s="18"/>
      <c r="K10" s="18"/>
      <c r="L10" s="18"/>
      <c r="M10" s="18"/>
      <c r="N10" s="19"/>
    </row>
    <row r="11" spans="1:14" ht="19.5" customHeight="1" x14ac:dyDescent="0.3">
      <c r="A11" s="18"/>
      <c r="B11" s="19"/>
      <c r="C11" s="19"/>
      <c r="D11" s="19"/>
      <c r="E11" s="18"/>
      <c r="F11" s="18"/>
      <c r="G11" s="18"/>
      <c r="H11" s="18"/>
      <c r="I11" s="20" t="str">
        <f t="shared" si="0"/>
        <v/>
      </c>
      <c r="J11" s="18"/>
      <c r="K11" s="18"/>
      <c r="L11" s="18"/>
      <c r="M11" s="18"/>
      <c r="N11" s="19"/>
    </row>
    <row r="12" spans="1:14" ht="19.5" customHeight="1" x14ac:dyDescent="0.3">
      <c r="A12" s="18"/>
      <c r="B12" s="19"/>
      <c r="C12" s="19"/>
      <c r="D12" s="19"/>
      <c r="E12" s="18"/>
      <c r="F12" s="18"/>
      <c r="G12" s="18"/>
      <c r="H12" s="18"/>
      <c r="I12" s="20" t="str">
        <f t="shared" si="0"/>
        <v/>
      </c>
      <c r="J12" s="18"/>
      <c r="K12" s="18"/>
      <c r="L12" s="18"/>
      <c r="M12" s="18"/>
      <c r="N12" s="19"/>
    </row>
    <row r="13" spans="1:14" ht="19.5" customHeight="1" x14ac:dyDescent="0.3">
      <c r="A13" s="18"/>
      <c r="B13" s="19"/>
      <c r="C13" s="19"/>
      <c r="D13" s="19"/>
      <c r="E13" s="18"/>
      <c r="F13" s="18"/>
      <c r="G13" s="18"/>
      <c r="H13" s="18"/>
      <c r="I13" s="20" t="str">
        <f t="shared" si="0"/>
        <v/>
      </c>
      <c r="J13" s="18"/>
      <c r="K13" s="18"/>
      <c r="L13" s="18"/>
      <c r="M13" s="18"/>
      <c r="N13" s="19"/>
    </row>
    <row r="14" spans="1:14" ht="19.5" customHeight="1" x14ac:dyDescent="0.3">
      <c r="A14" s="18"/>
      <c r="B14" s="19"/>
      <c r="C14" s="19"/>
      <c r="D14" s="19"/>
      <c r="E14" s="18"/>
      <c r="F14" s="18"/>
      <c r="G14" s="18"/>
      <c r="H14" s="18"/>
      <c r="I14" s="20" t="str">
        <f t="shared" si="0"/>
        <v/>
      </c>
      <c r="J14" s="18"/>
      <c r="K14" s="18"/>
      <c r="L14" s="18"/>
      <c r="M14" s="18"/>
      <c r="N14" s="19"/>
    </row>
    <row r="15" spans="1:14" ht="19.5" customHeight="1" x14ac:dyDescent="0.3">
      <c r="A15" s="18"/>
      <c r="B15" s="19"/>
      <c r="C15" s="19"/>
      <c r="D15" s="19"/>
      <c r="E15" s="18"/>
      <c r="F15" s="18"/>
      <c r="G15" s="18"/>
      <c r="H15" s="18"/>
      <c r="I15" s="20" t="str">
        <f t="shared" si="0"/>
        <v/>
      </c>
      <c r="J15" s="18"/>
      <c r="K15" s="18"/>
      <c r="L15" s="18"/>
      <c r="M15" s="18"/>
      <c r="N15" s="19"/>
    </row>
    <row r="16" spans="1:14" ht="19.5" customHeight="1" x14ac:dyDescent="0.3">
      <c r="A16" s="18"/>
      <c r="B16" s="19"/>
      <c r="C16" s="19"/>
      <c r="D16" s="19"/>
      <c r="E16" s="18"/>
      <c r="F16" s="18"/>
      <c r="G16" s="18"/>
      <c r="H16" s="18"/>
      <c r="I16" s="20" t="str">
        <f t="shared" si="0"/>
        <v/>
      </c>
      <c r="J16" s="18"/>
      <c r="K16" s="18"/>
      <c r="L16" s="18"/>
      <c r="M16" s="18"/>
      <c r="N16" s="19"/>
    </row>
    <row r="17" spans="1:14" ht="19.5" customHeight="1" x14ac:dyDescent="0.3">
      <c r="A17" s="18"/>
      <c r="B17" s="19"/>
      <c r="C17" s="19"/>
      <c r="D17" s="19"/>
      <c r="E17" s="18"/>
      <c r="F17" s="18"/>
      <c r="G17" s="18"/>
      <c r="H17" s="18"/>
      <c r="I17" s="20" t="str">
        <f t="shared" si="0"/>
        <v/>
      </c>
      <c r="J17" s="18"/>
      <c r="K17" s="18"/>
      <c r="L17" s="18"/>
      <c r="M17" s="18"/>
      <c r="N17" s="19"/>
    </row>
    <row r="18" spans="1:14" ht="19.5" customHeight="1" x14ac:dyDescent="0.3">
      <c r="A18" s="18"/>
      <c r="B18" s="19"/>
      <c r="C18" s="19"/>
      <c r="D18" s="19"/>
      <c r="E18" s="18"/>
      <c r="F18" s="18"/>
      <c r="G18" s="18"/>
      <c r="H18" s="18"/>
      <c r="I18" s="20" t="str">
        <f t="shared" si="0"/>
        <v/>
      </c>
      <c r="J18" s="18"/>
      <c r="K18" s="18"/>
      <c r="L18" s="18"/>
      <c r="M18" s="18"/>
      <c r="N18" s="19"/>
    </row>
    <row r="19" spans="1:14" ht="19.5" customHeight="1" x14ac:dyDescent="0.3">
      <c r="A19" s="18"/>
      <c r="B19" s="19"/>
      <c r="C19" s="19"/>
      <c r="D19" s="19"/>
      <c r="E19" s="18"/>
      <c r="F19" s="18"/>
      <c r="G19" s="18"/>
      <c r="H19" s="18"/>
      <c r="I19" s="20" t="str">
        <f t="shared" si="0"/>
        <v/>
      </c>
      <c r="J19" s="18"/>
      <c r="K19" s="18"/>
      <c r="L19" s="18"/>
      <c r="M19" s="18"/>
      <c r="N19" s="19"/>
    </row>
    <row r="20" spans="1:14" ht="19.5" customHeight="1" x14ac:dyDescent="0.3">
      <c r="A20" s="18"/>
      <c r="B20" s="19"/>
      <c r="C20" s="19"/>
      <c r="D20" s="19"/>
      <c r="E20" s="18"/>
      <c r="F20" s="18"/>
      <c r="G20" s="18"/>
      <c r="H20" s="18"/>
      <c r="I20" s="20" t="str">
        <f t="shared" si="0"/>
        <v/>
      </c>
      <c r="J20" s="18"/>
      <c r="K20" s="18"/>
      <c r="L20" s="18"/>
      <c r="M20" s="18"/>
      <c r="N20" s="19"/>
    </row>
    <row r="21" spans="1:14" ht="19.5" customHeight="1" x14ac:dyDescent="0.3">
      <c r="A21" s="18"/>
      <c r="B21" s="19"/>
      <c r="C21" s="19"/>
      <c r="D21" s="19"/>
      <c r="E21" s="18"/>
      <c r="F21" s="18"/>
      <c r="G21" s="18"/>
      <c r="H21" s="18"/>
      <c r="I21" s="20" t="str">
        <f t="shared" si="0"/>
        <v/>
      </c>
      <c r="J21" s="18"/>
      <c r="K21" s="18"/>
      <c r="L21" s="18"/>
      <c r="M21" s="18"/>
      <c r="N21" s="19"/>
    </row>
    <row r="22" spans="1:14" ht="19.5" customHeight="1" x14ac:dyDescent="0.3">
      <c r="A22" s="18"/>
      <c r="B22" s="19"/>
      <c r="C22" s="19"/>
      <c r="D22" s="19"/>
      <c r="E22" s="18"/>
      <c r="F22" s="18"/>
      <c r="G22" s="18"/>
      <c r="H22" s="18"/>
      <c r="I22" s="20" t="str">
        <f t="shared" si="0"/>
        <v/>
      </c>
      <c r="J22" s="18"/>
      <c r="K22" s="18"/>
      <c r="L22" s="18"/>
      <c r="M22" s="18"/>
      <c r="N22" s="19"/>
    </row>
    <row r="23" spans="1:14" ht="19.5" customHeight="1" x14ac:dyDescent="0.3">
      <c r="A23" s="18"/>
      <c r="B23" s="19"/>
      <c r="C23" s="19"/>
      <c r="D23" s="19"/>
      <c r="E23" s="18"/>
      <c r="F23" s="18"/>
      <c r="G23" s="18"/>
      <c r="H23" s="18"/>
      <c r="I23" s="20" t="str">
        <f t="shared" si="0"/>
        <v/>
      </c>
      <c r="J23" s="18"/>
      <c r="K23" s="18"/>
      <c r="L23" s="18"/>
      <c r="M23" s="18"/>
      <c r="N23" s="19"/>
    </row>
    <row r="24" spans="1:14" ht="19.5" customHeight="1" x14ac:dyDescent="0.3">
      <c r="A24" s="18"/>
      <c r="B24" s="19"/>
      <c r="C24" s="19"/>
      <c r="D24" s="19"/>
      <c r="E24" s="18"/>
      <c r="F24" s="18"/>
      <c r="G24" s="18"/>
      <c r="H24" s="18"/>
      <c r="I24" s="20" t="str">
        <f t="shared" si="0"/>
        <v/>
      </c>
      <c r="J24" s="18"/>
      <c r="K24" s="18"/>
      <c r="L24" s="18"/>
      <c r="M24" s="18"/>
      <c r="N24" s="19"/>
    </row>
    <row r="25" spans="1:14" ht="19.5" customHeight="1" x14ac:dyDescent="0.3">
      <c r="A25" s="18"/>
      <c r="B25" s="19"/>
      <c r="C25" s="19"/>
      <c r="D25" s="19"/>
      <c r="E25" s="18"/>
      <c r="F25" s="18"/>
      <c r="G25" s="18"/>
      <c r="H25" s="18"/>
      <c r="I25" s="20" t="str">
        <f t="shared" si="0"/>
        <v/>
      </c>
      <c r="J25" s="18"/>
      <c r="K25" s="18"/>
      <c r="L25" s="18"/>
      <c r="M25" s="18"/>
      <c r="N25" s="19"/>
    </row>
    <row r="26" spans="1:14" ht="19.5" customHeight="1" x14ac:dyDescent="0.3">
      <c r="A26" s="18"/>
      <c r="B26" s="19"/>
      <c r="C26" s="19"/>
      <c r="D26" s="19"/>
      <c r="E26" s="18"/>
      <c r="F26" s="18"/>
      <c r="G26" s="18"/>
      <c r="H26" s="18"/>
      <c r="I26" s="20" t="str">
        <f t="shared" si="0"/>
        <v/>
      </c>
      <c r="J26" s="18"/>
      <c r="K26" s="18"/>
      <c r="L26" s="18"/>
      <c r="M26" s="18"/>
      <c r="N26" s="19"/>
    </row>
    <row r="27" spans="1:14" ht="19.5" customHeight="1" x14ac:dyDescent="0.3">
      <c r="A27" s="18"/>
      <c r="B27" s="19"/>
      <c r="C27" s="19"/>
      <c r="D27" s="19"/>
      <c r="E27" s="18"/>
      <c r="F27" s="18"/>
      <c r="G27" s="18"/>
      <c r="H27" s="18"/>
      <c r="I27" s="20" t="str">
        <f t="shared" si="0"/>
        <v/>
      </c>
      <c r="J27" s="18"/>
      <c r="K27" s="18"/>
      <c r="L27" s="18"/>
      <c r="M27" s="18"/>
      <c r="N27" s="19"/>
    </row>
    <row r="28" spans="1:14" ht="19.5" customHeight="1" x14ac:dyDescent="0.3">
      <c r="A28" s="18"/>
      <c r="B28" s="19"/>
      <c r="C28" s="19"/>
      <c r="D28" s="19"/>
      <c r="E28" s="18"/>
      <c r="F28" s="18"/>
      <c r="G28" s="18"/>
      <c r="H28" s="18"/>
      <c r="I28" s="20" t="str">
        <f t="shared" si="0"/>
        <v/>
      </c>
      <c r="J28" s="18"/>
      <c r="K28" s="18"/>
      <c r="L28" s="18"/>
      <c r="M28" s="18"/>
      <c r="N28" s="19"/>
    </row>
    <row r="29" spans="1:14" ht="19.5" customHeight="1" x14ac:dyDescent="0.3">
      <c r="A29" s="18"/>
      <c r="B29" s="19"/>
      <c r="C29" s="19"/>
      <c r="D29" s="19"/>
      <c r="E29" s="18"/>
      <c r="F29" s="18"/>
      <c r="G29" s="18"/>
      <c r="H29" s="18"/>
      <c r="I29" s="20" t="str">
        <f t="shared" si="0"/>
        <v/>
      </c>
      <c r="J29" s="18"/>
      <c r="K29" s="18"/>
      <c r="L29" s="18"/>
      <c r="M29" s="18"/>
      <c r="N29" s="19"/>
    </row>
    <row r="30" spans="1:14" ht="19.5" customHeight="1" x14ac:dyDescent="0.3">
      <c r="A30" s="18"/>
      <c r="B30" s="19"/>
      <c r="C30" s="19"/>
      <c r="D30" s="19"/>
      <c r="E30" s="18"/>
      <c r="F30" s="18"/>
      <c r="G30" s="18"/>
      <c r="H30" s="18"/>
      <c r="I30" s="20" t="str">
        <f t="shared" si="0"/>
        <v/>
      </c>
      <c r="J30" s="18"/>
      <c r="K30" s="18"/>
      <c r="L30" s="18"/>
      <c r="M30" s="18"/>
      <c r="N30" s="19"/>
    </row>
    <row r="31" spans="1:14" ht="19.5" customHeight="1" x14ac:dyDescent="0.3">
      <c r="A31" s="18"/>
      <c r="B31" s="19"/>
      <c r="C31" s="19"/>
      <c r="D31" s="19"/>
      <c r="E31" s="18"/>
      <c r="F31" s="18"/>
      <c r="G31" s="18"/>
      <c r="H31" s="18"/>
      <c r="I31" s="20" t="str">
        <f t="shared" si="0"/>
        <v/>
      </c>
      <c r="J31" s="18"/>
      <c r="K31" s="18"/>
      <c r="L31" s="18"/>
      <c r="M31" s="18"/>
      <c r="N31" s="19"/>
    </row>
    <row r="32" spans="1:14" ht="19.5" customHeight="1" x14ac:dyDescent="0.3">
      <c r="A32" s="18"/>
      <c r="B32" s="19"/>
      <c r="C32" s="19"/>
      <c r="D32" s="19"/>
      <c r="E32" s="18"/>
      <c r="F32" s="18"/>
      <c r="G32" s="18"/>
      <c r="H32" s="18"/>
      <c r="I32" s="20" t="str">
        <f t="shared" si="0"/>
        <v/>
      </c>
      <c r="J32" s="18"/>
      <c r="K32" s="18"/>
      <c r="L32" s="18"/>
      <c r="M32" s="18"/>
      <c r="N32" s="19"/>
    </row>
    <row r="33" spans="1:14" ht="19.5" customHeight="1" x14ac:dyDescent="0.3">
      <c r="A33" s="18"/>
      <c r="B33" s="19"/>
      <c r="C33" s="19"/>
      <c r="D33" s="19"/>
      <c r="E33" s="18"/>
      <c r="F33" s="18"/>
      <c r="G33" s="18"/>
      <c r="H33" s="18"/>
      <c r="I33" s="20" t="str">
        <f t="shared" si="0"/>
        <v/>
      </c>
      <c r="J33" s="18"/>
      <c r="K33" s="18"/>
      <c r="L33" s="18"/>
      <c r="M33" s="18"/>
      <c r="N33" s="19"/>
    </row>
    <row r="34" spans="1:14" ht="19.5" customHeight="1" x14ac:dyDescent="0.3">
      <c r="A34" s="18"/>
      <c r="B34" s="19"/>
      <c r="C34" s="19"/>
      <c r="D34" s="19"/>
      <c r="E34" s="18"/>
      <c r="F34" s="18"/>
      <c r="G34" s="18"/>
      <c r="H34" s="18"/>
      <c r="I34" s="20" t="str">
        <f t="shared" si="0"/>
        <v/>
      </c>
      <c r="J34" s="18"/>
      <c r="K34" s="18"/>
      <c r="L34" s="18"/>
      <c r="M34" s="18"/>
      <c r="N34" s="19"/>
    </row>
    <row r="35" spans="1:14" ht="19.5" customHeight="1" x14ac:dyDescent="0.3">
      <c r="A35" s="18"/>
      <c r="B35" s="19"/>
      <c r="C35" s="19"/>
      <c r="D35" s="19"/>
      <c r="E35" s="18"/>
      <c r="F35" s="18"/>
      <c r="G35" s="18"/>
      <c r="H35" s="18"/>
      <c r="I35" s="20" t="str">
        <f t="shared" si="0"/>
        <v/>
      </c>
      <c r="J35" s="18"/>
      <c r="K35" s="18"/>
      <c r="L35" s="18"/>
      <c r="M35" s="18"/>
      <c r="N35" s="19"/>
    </row>
    <row r="36" spans="1:14" ht="19.5" customHeight="1" x14ac:dyDescent="0.3">
      <c r="A36" s="18"/>
      <c r="B36" s="19"/>
      <c r="C36" s="19"/>
      <c r="D36" s="19"/>
      <c r="E36" s="18"/>
      <c r="F36" s="18"/>
      <c r="G36" s="18"/>
      <c r="H36" s="18"/>
      <c r="I36" s="20" t="str">
        <f t="shared" si="0"/>
        <v/>
      </c>
      <c r="J36" s="18"/>
      <c r="K36" s="18"/>
      <c r="L36" s="18"/>
      <c r="M36" s="18"/>
      <c r="N36" s="19"/>
    </row>
    <row r="37" spans="1:14" ht="19.5" customHeight="1" x14ac:dyDescent="0.3">
      <c r="A37" s="18"/>
      <c r="B37" s="19"/>
      <c r="C37" s="19"/>
      <c r="D37" s="19"/>
      <c r="E37" s="18"/>
      <c r="F37" s="18"/>
      <c r="G37" s="18"/>
      <c r="H37" s="18"/>
      <c r="I37" s="20" t="str">
        <f t="shared" ref="I37:I64" si="1">IF(COUNT(F37:H37)=3,ROUND((F37+4*G37+H37)/6,1),"")</f>
        <v/>
      </c>
      <c r="J37" s="18"/>
      <c r="K37" s="18"/>
      <c r="L37" s="18"/>
      <c r="M37" s="18"/>
      <c r="N37" s="19"/>
    </row>
    <row r="38" spans="1:14" ht="19.5" customHeight="1" x14ac:dyDescent="0.3">
      <c r="A38" s="18"/>
      <c r="B38" s="19"/>
      <c r="C38" s="19"/>
      <c r="D38" s="19"/>
      <c r="E38" s="18"/>
      <c r="F38" s="18"/>
      <c r="G38" s="18"/>
      <c r="H38" s="18"/>
      <c r="I38" s="20" t="str">
        <f t="shared" si="1"/>
        <v/>
      </c>
      <c r="J38" s="18"/>
      <c r="K38" s="18"/>
      <c r="L38" s="18"/>
      <c r="M38" s="18"/>
      <c r="N38" s="19"/>
    </row>
    <row r="39" spans="1:14" ht="19.5" customHeight="1" x14ac:dyDescent="0.3">
      <c r="A39" s="18"/>
      <c r="B39" s="19"/>
      <c r="C39" s="19"/>
      <c r="D39" s="19"/>
      <c r="E39" s="18"/>
      <c r="F39" s="18"/>
      <c r="G39" s="18"/>
      <c r="H39" s="18"/>
      <c r="I39" s="20" t="str">
        <f t="shared" si="1"/>
        <v/>
      </c>
      <c r="J39" s="18"/>
      <c r="K39" s="18"/>
      <c r="L39" s="18"/>
      <c r="M39" s="18"/>
      <c r="N39" s="19"/>
    </row>
    <row r="40" spans="1:14" ht="19.5" customHeight="1" x14ac:dyDescent="0.3">
      <c r="A40" s="18"/>
      <c r="B40" s="19"/>
      <c r="C40" s="19"/>
      <c r="D40" s="19"/>
      <c r="E40" s="18"/>
      <c r="F40" s="18"/>
      <c r="G40" s="18"/>
      <c r="H40" s="18"/>
      <c r="I40" s="20" t="str">
        <f t="shared" si="1"/>
        <v/>
      </c>
      <c r="J40" s="18"/>
      <c r="K40" s="18"/>
      <c r="L40" s="18"/>
      <c r="M40" s="18"/>
      <c r="N40" s="19"/>
    </row>
    <row r="41" spans="1:14" ht="19.5" customHeight="1" x14ac:dyDescent="0.3">
      <c r="A41" s="18"/>
      <c r="B41" s="19"/>
      <c r="C41" s="19"/>
      <c r="D41" s="19"/>
      <c r="E41" s="18"/>
      <c r="F41" s="18"/>
      <c r="G41" s="18"/>
      <c r="H41" s="18"/>
      <c r="I41" s="20" t="str">
        <f t="shared" si="1"/>
        <v/>
      </c>
      <c r="J41" s="18"/>
      <c r="K41" s="18"/>
      <c r="L41" s="18"/>
      <c r="M41" s="18"/>
      <c r="N41" s="19"/>
    </row>
    <row r="42" spans="1:14" ht="19.5" customHeight="1" x14ac:dyDescent="0.3">
      <c r="A42" s="18"/>
      <c r="B42" s="19"/>
      <c r="C42" s="19"/>
      <c r="D42" s="19"/>
      <c r="E42" s="18"/>
      <c r="F42" s="18"/>
      <c r="G42" s="18"/>
      <c r="H42" s="18"/>
      <c r="I42" s="20" t="str">
        <f t="shared" si="1"/>
        <v/>
      </c>
      <c r="J42" s="18"/>
      <c r="K42" s="18"/>
      <c r="L42" s="18"/>
      <c r="M42" s="18"/>
      <c r="N42" s="19"/>
    </row>
    <row r="43" spans="1:14" ht="19.5" customHeight="1" x14ac:dyDescent="0.3">
      <c r="A43" s="18"/>
      <c r="B43" s="19"/>
      <c r="C43" s="19"/>
      <c r="D43" s="19"/>
      <c r="E43" s="18"/>
      <c r="F43" s="18"/>
      <c r="G43" s="18"/>
      <c r="H43" s="18"/>
      <c r="I43" s="20" t="str">
        <f t="shared" si="1"/>
        <v/>
      </c>
      <c r="J43" s="18"/>
      <c r="K43" s="18"/>
      <c r="L43" s="18"/>
      <c r="M43" s="18"/>
      <c r="N43" s="19"/>
    </row>
    <row r="44" spans="1:14" ht="19.5" customHeight="1" x14ac:dyDescent="0.3">
      <c r="A44" s="18"/>
      <c r="B44" s="19"/>
      <c r="C44" s="19"/>
      <c r="D44" s="19"/>
      <c r="E44" s="18"/>
      <c r="F44" s="18"/>
      <c r="G44" s="18"/>
      <c r="H44" s="18"/>
      <c r="I44" s="20" t="str">
        <f t="shared" si="1"/>
        <v/>
      </c>
      <c r="J44" s="18"/>
      <c r="K44" s="18"/>
      <c r="L44" s="18"/>
      <c r="M44" s="18"/>
      <c r="N44" s="19"/>
    </row>
    <row r="45" spans="1:14" ht="19.5" customHeight="1" x14ac:dyDescent="0.3">
      <c r="A45" s="18"/>
      <c r="B45" s="19"/>
      <c r="C45" s="19"/>
      <c r="D45" s="19"/>
      <c r="E45" s="18"/>
      <c r="F45" s="18"/>
      <c r="G45" s="18"/>
      <c r="H45" s="18"/>
      <c r="I45" s="20" t="str">
        <f t="shared" si="1"/>
        <v/>
      </c>
      <c r="J45" s="18"/>
      <c r="K45" s="18"/>
      <c r="L45" s="18"/>
      <c r="M45" s="18"/>
      <c r="N45" s="19"/>
    </row>
    <row r="46" spans="1:14" ht="19.5" customHeight="1" x14ac:dyDescent="0.3">
      <c r="A46" s="18"/>
      <c r="B46" s="19"/>
      <c r="C46" s="19"/>
      <c r="D46" s="19"/>
      <c r="E46" s="18"/>
      <c r="F46" s="18"/>
      <c r="G46" s="18"/>
      <c r="H46" s="18"/>
      <c r="I46" s="20" t="str">
        <f t="shared" si="1"/>
        <v/>
      </c>
      <c r="J46" s="18"/>
      <c r="K46" s="18"/>
      <c r="L46" s="18"/>
      <c r="M46" s="18"/>
      <c r="N46" s="19"/>
    </row>
    <row r="47" spans="1:14" ht="19.5" customHeight="1" x14ac:dyDescent="0.3">
      <c r="A47" s="18"/>
      <c r="B47" s="19"/>
      <c r="C47" s="19"/>
      <c r="D47" s="19"/>
      <c r="E47" s="18"/>
      <c r="F47" s="18"/>
      <c r="G47" s="18"/>
      <c r="H47" s="18"/>
      <c r="I47" s="20" t="str">
        <f t="shared" si="1"/>
        <v/>
      </c>
      <c r="J47" s="18"/>
      <c r="K47" s="18"/>
      <c r="L47" s="18"/>
      <c r="M47" s="18"/>
      <c r="N47" s="19"/>
    </row>
    <row r="48" spans="1:14" ht="19.5" customHeight="1" x14ac:dyDescent="0.3">
      <c r="A48" s="18"/>
      <c r="B48" s="19"/>
      <c r="C48" s="19"/>
      <c r="D48" s="19"/>
      <c r="E48" s="18"/>
      <c r="F48" s="18"/>
      <c r="G48" s="18"/>
      <c r="H48" s="18"/>
      <c r="I48" s="20" t="str">
        <f t="shared" si="1"/>
        <v/>
      </c>
      <c r="J48" s="18"/>
      <c r="K48" s="18"/>
      <c r="L48" s="18"/>
      <c r="M48" s="18"/>
      <c r="N48" s="19"/>
    </row>
    <row r="49" spans="1:14" ht="19.5" customHeight="1" x14ac:dyDescent="0.3">
      <c r="A49" s="18"/>
      <c r="B49" s="19"/>
      <c r="C49" s="19"/>
      <c r="D49" s="19"/>
      <c r="E49" s="18"/>
      <c r="F49" s="18"/>
      <c r="G49" s="18"/>
      <c r="H49" s="18"/>
      <c r="I49" s="20" t="str">
        <f t="shared" si="1"/>
        <v/>
      </c>
      <c r="J49" s="18"/>
      <c r="K49" s="18"/>
      <c r="L49" s="18"/>
      <c r="M49" s="18"/>
      <c r="N49" s="19"/>
    </row>
    <row r="50" spans="1:14" ht="19.5" customHeight="1" x14ac:dyDescent="0.3">
      <c r="A50" s="18"/>
      <c r="B50" s="19"/>
      <c r="C50" s="19"/>
      <c r="D50" s="19"/>
      <c r="E50" s="18"/>
      <c r="F50" s="18"/>
      <c r="G50" s="18"/>
      <c r="H50" s="18"/>
      <c r="I50" s="20" t="str">
        <f t="shared" si="1"/>
        <v/>
      </c>
      <c r="J50" s="18"/>
      <c r="K50" s="18"/>
      <c r="L50" s="18"/>
      <c r="M50" s="18"/>
      <c r="N50" s="19"/>
    </row>
    <row r="51" spans="1:14" ht="19.5" customHeight="1" x14ac:dyDescent="0.3">
      <c r="A51" s="18"/>
      <c r="B51" s="19"/>
      <c r="C51" s="19"/>
      <c r="D51" s="19"/>
      <c r="E51" s="18"/>
      <c r="F51" s="18"/>
      <c r="G51" s="18"/>
      <c r="H51" s="18"/>
      <c r="I51" s="20" t="str">
        <f t="shared" si="1"/>
        <v/>
      </c>
      <c r="J51" s="18"/>
      <c r="K51" s="18"/>
      <c r="L51" s="18"/>
      <c r="M51" s="18"/>
      <c r="N51" s="19"/>
    </row>
    <row r="52" spans="1:14" ht="19.5" customHeight="1" x14ac:dyDescent="0.3">
      <c r="A52" s="18"/>
      <c r="B52" s="19"/>
      <c r="C52" s="19"/>
      <c r="D52" s="19"/>
      <c r="E52" s="18"/>
      <c r="F52" s="18"/>
      <c r="G52" s="18"/>
      <c r="H52" s="18"/>
      <c r="I52" s="20" t="str">
        <f t="shared" si="1"/>
        <v/>
      </c>
      <c r="J52" s="18"/>
      <c r="K52" s="18"/>
      <c r="L52" s="18"/>
      <c r="M52" s="18"/>
      <c r="N52" s="19"/>
    </row>
    <row r="53" spans="1:14" ht="19.5" customHeight="1" x14ac:dyDescent="0.3">
      <c r="A53" s="18"/>
      <c r="B53" s="19"/>
      <c r="C53" s="19"/>
      <c r="D53" s="19"/>
      <c r="E53" s="18"/>
      <c r="F53" s="18"/>
      <c r="G53" s="18"/>
      <c r="H53" s="18"/>
      <c r="I53" s="20" t="str">
        <f t="shared" si="1"/>
        <v/>
      </c>
      <c r="J53" s="18"/>
      <c r="K53" s="18"/>
      <c r="L53" s="18"/>
      <c r="M53" s="18"/>
      <c r="N53" s="19"/>
    </row>
    <row r="54" spans="1:14" ht="19.5" customHeight="1" x14ac:dyDescent="0.3">
      <c r="A54" s="18"/>
      <c r="B54" s="19"/>
      <c r="C54" s="19"/>
      <c r="D54" s="19"/>
      <c r="E54" s="18"/>
      <c r="F54" s="18"/>
      <c r="G54" s="18"/>
      <c r="H54" s="18"/>
      <c r="I54" s="20" t="str">
        <f t="shared" si="1"/>
        <v/>
      </c>
      <c r="J54" s="18"/>
      <c r="K54" s="18"/>
      <c r="L54" s="18"/>
      <c r="M54" s="18"/>
      <c r="N54" s="19"/>
    </row>
    <row r="55" spans="1:14" ht="19.5" customHeight="1" x14ac:dyDescent="0.3">
      <c r="A55" s="18"/>
      <c r="B55" s="19"/>
      <c r="C55" s="19"/>
      <c r="D55" s="19"/>
      <c r="E55" s="18"/>
      <c r="F55" s="18"/>
      <c r="G55" s="18"/>
      <c r="H55" s="18"/>
      <c r="I55" s="20" t="str">
        <f t="shared" si="1"/>
        <v/>
      </c>
      <c r="J55" s="18"/>
      <c r="K55" s="18"/>
      <c r="L55" s="18"/>
      <c r="M55" s="18"/>
      <c r="N55" s="19"/>
    </row>
    <row r="56" spans="1:14" ht="19.5" customHeight="1" x14ac:dyDescent="0.3">
      <c r="A56" s="18"/>
      <c r="B56" s="19"/>
      <c r="C56" s="19"/>
      <c r="D56" s="19"/>
      <c r="E56" s="18"/>
      <c r="F56" s="18"/>
      <c r="G56" s="18"/>
      <c r="H56" s="18"/>
      <c r="I56" s="20" t="str">
        <f t="shared" si="1"/>
        <v/>
      </c>
      <c r="J56" s="18"/>
      <c r="K56" s="18"/>
      <c r="L56" s="18"/>
      <c r="M56" s="18"/>
      <c r="N56" s="19"/>
    </row>
    <row r="57" spans="1:14" ht="19.5" customHeight="1" x14ac:dyDescent="0.3">
      <c r="A57" s="18"/>
      <c r="B57" s="19"/>
      <c r="C57" s="19"/>
      <c r="D57" s="19"/>
      <c r="E57" s="18"/>
      <c r="F57" s="18"/>
      <c r="G57" s="18"/>
      <c r="H57" s="18"/>
      <c r="I57" s="20" t="str">
        <f t="shared" si="1"/>
        <v/>
      </c>
      <c r="J57" s="18"/>
      <c r="K57" s="18"/>
      <c r="L57" s="18"/>
      <c r="M57" s="18"/>
      <c r="N57" s="19"/>
    </row>
    <row r="58" spans="1:14" ht="19.5" customHeight="1" x14ac:dyDescent="0.3">
      <c r="A58" s="18"/>
      <c r="B58" s="19"/>
      <c r="C58" s="19"/>
      <c r="D58" s="19"/>
      <c r="E58" s="18"/>
      <c r="F58" s="18"/>
      <c r="G58" s="18"/>
      <c r="H58" s="18"/>
      <c r="I58" s="20" t="str">
        <f t="shared" si="1"/>
        <v/>
      </c>
      <c r="J58" s="18"/>
      <c r="K58" s="18"/>
      <c r="L58" s="18"/>
      <c r="M58" s="18"/>
      <c r="N58" s="19"/>
    </row>
    <row r="59" spans="1:14" ht="19.5" customHeight="1" x14ac:dyDescent="0.3">
      <c r="A59" s="18"/>
      <c r="B59" s="19"/>
      <c r="C59" s="19"/>
      <c r="D59" s="19"/>
      <c r="E59" s="18"/>
      <c r="F59" s="18"/>
      <c r="G59" s="18"/>
      <c r="H59" s="18"/>
      <c r="I59" s="20" t="str">
        <f t="shared" si="1"/>
        <v/>
      </c>
      <c r="J59" s="18"/>
      <c r="K59" s="18"/>
      <c r="L59" s="18"/>
      <c r="M59" s="18"/>
      <c r="N59" s="19"/>
    </row>
    <row r="60" spans="1:14" ht="19.5" customHeight="1" x14ac:dyDescent="0.3">
      <c r="A60" s="18"/>
      <c r="B60" s="19"/>
      <c r="C60" s="19"/>
      <c r="D60" s="19"/>
      <c r="E60" s="18"/>
      <c r="F60" s="18"/>
      <c r="G60" s="18"/>
      <c r="H60" s="18"/>
      <c r="I60" s="20" t="str">
        <f t="shared" si="1"/>
        <v/>
      </c>
      <c r="J60" s="18"/>
      <c r="K60" s="18"/>
      <c r="L60" s="18"/>
      <c r="M60" s="18"/>
      <c r="N60" s="19"/>
    </row>
    <row r="61" spans="1:14" ht="19.5" customHeight="1" x14ac:dyDescent="0.3">
      <c r="A61" s="18"/>
      <c r="B61" s="19"/>
      <c r="C61" s="19"/>
      <c r="D61" s="19"/>
      <c r="E61" s="18"/>
      <c r="F61" s="18"/>
      <c r="G61" s="18"/>
      <c r="H61" s="18"/>
      <c r="I61" s="20" t="str">
        <f t="shared" si="1"/>
        <v/>
      </c>
      <c r="J61" s="18"/>
      <c r="K61" s="18"/>
      <c r="L61" s="18"/>
      <c r="M61" s="18"/>
      <c r="N61" s="19"/>
    </row>
    <row r="62" spans="1:14" ht="19.5" customHeight="1" x14ac:dyDescent="0.3">
      <c r="A62" s="18"/>
      <c r="B62" s="19"/>
      <c r="C62" s="19"/>
      <c r="D62" s="19"/>
      <c r="E62" s="18"/>
      <c r="F62" s="18"/>
      <c r="G62" s="18"/>
      <c r="H62" s="18"/>
      <c r="I62" s="20" t="str">
        <f t="shared" si="1"/>
        <v/>
      </c>
      <c r="J62" s="18"/>
      <c r="K62" s="18"/>
      <c r="L62" s="18"/>
      <c r="M62" s="18"/>
      <c r="N62" s="19"/>
    </row>
    <row r="63" spans="1:14" ht="19.5" customHeight="1" x14ac:dyDescent="0.3">
      <c r="A63" s="18"/>
      <c r="B63" s="19"/>
      <c r="C63" s="19"/>
      <c r="D63" s="19"/>
      <c r="E63" s="18"/>
      <c r="F63" s="18"/>
      <c r="G63" s="18"/>
      <c r="H63" s="18"/>
      <c r="I63" s="20" t="str">
        <f t="shared" si="1"/>
        <v/>
      </c>
      <c r="J63" s="18"/>
      <c r="K63" s="18"/>
      <c r="L63" s="18"/>
      <c r="M63" s="18"/>
      <c r="N63" s="19"/>
    </row>
    <row r="64" spans="1:14" ht="19.5" customHeight="1" x14ac:dyDescent="0.3">
      <c r="A64" s="18"/>
      <c r="B64" s="19"/>
      <c r="C64" s="19"/>
      <c r="D64" s="19"/>
      <c r="E64" s="18"/>
      <c r="F64" s="18"/>
      <c r="G64" s="18"/>
      <c r="H64" s="18"/>
      <c r="I64" s="20" t="str">
        <f t="shared" si="1"/>
        <v/>
      </c>
      <c r="J64" s="18"/>
      <c r="K64" s="18"/>
      <c r="L64" s="18"/>
      <c r="M64" s="18"/>
      <c r="N64" s="19"/>
    </row>
    <row r="65" spans="1:14" x14ac:dyDescent="0.3">
      <c r="A65" s="21"/>
      <c r="B65" s="21"/>
      <c r="C65" s="21"/>
      <c r="D65" s="21"/>
      <c r="E65" s="21"/>
      <c r="F65" s="21"/>
      <c r="G65" s="21"/>
      <c r="H65" s="19" t="s">
        <v>96</v>
      </c>
      <c r="I65" s="20">
        <f>SUM(I5:I64)</f>
        <v>14.8</v>
      </c>
      <c r="J65" s="21"/>
      <c r="K65" s="21"/>
      <c r="L65" s="21"/>
      <c r="M65" s="21"/>
      <c r="N65" s="21"/>
    </row>
    <row r="66" spans="1:14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x14ac:dyDescent="0.3">
      <c r="A67" s="17" t="s">
        <v>97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</sheetData>
  <mergeCells count="2">
    <mergeCell ref="A1:N1"/>
    <mergeCell ref="A2:N2"/>
  </mergeCells>
  <conditionalFormatting sqref="E5:E64">
    <cfRule type="expression" dxfId="13" priority="4">
      <formula>AND(C5&lt;&gt;"",E5="")</formula>
    </cfRule>
  </conditionalFormatting>
  <conditionalFormatting sqref="I5:I64">
    <cfRule type="expression" dxfId="12" priority="2">
      <formula>AND(ISNUMBER(I5),I5&gt;4)</formula>
    </cfRule>
  </conditionalFormatting>
  <conditionalFormatting sqref="K5:K64">
    <cfRule type="expression" dxfId="11" priority="3">
      <formula>AND(ISNUMBER(J5),ISNUMBER(K5),K5&lt;J5)</formula>
    </cfRule>
  </conditionalFormatting>
  <conditionalFormatting sqref="M5:M64">
    <cfRule type="expression" dxfId="10" priority="5">
      <formula>M5="Terminé"</formula>
    </cfRule>
  </conditionalFormatting>
  <dataValidations count="2">
    <dataValidation type="decimal" allowBlank="1" showErrorMessage="1" error="Durée en heures (0 à 40)" sqref="F5:H64" xr:uid="{00000000-0002-0000-0400-000003000000}">
      <formula1>0</formula1>
      <formula2>40</formula2>
    </dataValidation>
    <dataValidation type="whole" allowBlank="1" showErrorMessage="1" error="Numéro de séance de 1 à 10" sqref="J5:K64" xr:uid="{00000000-0002-0000-0400-000004000000}">
      <formula1>1</formula1>
      <formula2>10</formula2>
    </dataValidation>
  </dataValidations>
  <pageMargins left="0.75" right="0.75" top="1" bottom="1" header="0.511811023622047" footer="0.5"/>
  <pageSetup fitToHeight="0" orientation="landscape" horizontalDpi="300" verticalDpi="300" r:id="rId1"/>
  <headerFooter>
    <oddFooter>&amp;LM. Moundzeki — Campus La Salle Issy-les-Moulineaux&amp;R&amp;A — 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Listes!$A$2:$A$9</xm:f>
          </x14:formula1>
          <x14:formula2>
            <xm:f>0</xm:f>
          </x14:formula2>
          <xm:sqref>B5:B64</xm:sqref>
        </x14:dataValidation>
        <x14:dataValidation type="list" allowBlank="1" xr:uid="{00000000-0002-0000-0400-000001000000}">
          <x14:formula1>
            <xm:f>Équipe!$A$5:$A$8</xm:f>
          </x14:formula1>
          <x14:formula2>
            <xm:f>0</xm:f>
          </x14:formula2>
          <xm:sqref>E5:E64</xm:sqref>
        </x14:dataValidation>
        <x14:dataValidation type="list" allowBlank="1" xr:uid="{00000000-0002-0000-0400-000002000000}">
          <x14:formula1>
            <xm:f>Listes!$B$2:$B$5</xm:f>
          </x14:formula1>
          <x14:formula2>
            <xm:f>0</xm:f>
          </x14:formula2>
          <xm:sqref>M5:M64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6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5" sqref="E15"/>
    </sheetView>
  </sheetViews>
  <sheetFormatPr defaultColWidth="8.6640625" defaultRowHeight="14.4" x14ac:dyDescent="0.3"/>
  <cols>
    <col min="1" max="1" width="7" customWidth="1"/>
    <col min="2" max="2" width="40" customWidth="1"/>
    <col min="3" max="3" width="18" customWidth="1"/>
    <col min="4" max="4" width="11" customWidth="1"/>
    <col min="5" max="14" width="6" customWidth="1"/>
  </cols>
  <sheetData>
    <row r="1" spans="1:14" ht="27.75" customHeight="1" x14ac:dyDescent="0.3">
      <c r="A1" s="43" t="s">
        <v>98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30" customHeight="1" x14ac:dyDescent="0.3">
      <c r="A2" s="44" t="s">
        <v>99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31.5" customHeight="1" x14ac:dyDescent="0.3">
      <c r="A4" s="14" t="s">
        <v>100</v>
      </c>
      <c r="B4" s="14" t="s">
        <v>101</v>
      </c>
      <c r="C4" s="14" t="s">
        <v>70</v>
      </c>
      <c r="D4" s="14" t="s">
        <v>78</v>
      </c>
      <c r="E4" s="25">
        <v>1</v>
      </c>
      <c r="F4" s="25">
        <v>2</v>
      </c>
      <c r="G4" s="25">
        <v>3</v>
      </c>
      <c r="H4" s="25">
        <v>4</v>
      </c>
      <c r="I4" s="25">
        <v>5</v>
      </c>
      <c r="J4" s="25">
        <v>6</v>
      </c>
      <c r="K4" s="25">
        <v>7</v>
      </c>
      <c r="L4" s="25">
        <v>8</v>
      </c>
      <c r="M4" s="25">
        <v>9</v>
      </c>
      <c r="N4" s="25">
        <v>10</v>
      </c>
    </row>
    <row r="5" spans="1:14" x14ac:dyDescent="0.3">
      <c r="A5" s="14"/>
      <c r="B5" s="14" t="s">
        <v>102</v>
      </c>
      <c r="C5" s="14"/>
      <c r="D5" s="14"/>
      <c r="E5" s="14"/>
      <c r="F5" s="14" t="s">
        <v>103</v>
      </c>
      <c r="G5" s="14"/>
      <c r="H5" s="14"/>
      <c r="I5" s="14" t="s">
        <v>104</v>
      </c>
      <c r="J5" s="14"/>
      <c r="K5" s="14"/>
      <c r="L5" s="14" t="s">
        <v>105</v>
      </c>
      <c r="M5" s="14" t="s">
        <v>106</v>
      </c>
      <c r="N5" s="14" t="s">
        <v>107</v>
      </c>
    </row>
    <row r="6" spans="1:14" ht="18" customHeight="1" x14ac:dyDescent="0.3">
      <c r="A6" s="14" t="str">
        <f>IF(Tâches!$C5="","",Tâches!$A5)</f>
        <v>1.1</v>
      </c>
      <c r="B6" s="14" t="str">
        <f>IF(Tâches!$C5="","",Tâches!$C5)</f>
        <v>Rédiger la note de cadrage</v>
      </c>
      <c r="C6" s="14" t="str">
        <f>IF(Tâches!$C5="","",Tâches!$E5&amp;"")</f>
        <v>Eren ASLAN</v>
      </c>
      <c r="D6" s="14" t="str">
        <f>IF(Tâches!$C5="","",Tâches!$M5&amp;"")</f>
        <v>Terminé</v>
      </c>
      <c r="E6" s="14" t="str">
        <f>IF(AND(ISNUMBER(Tâches!$J5),ISNUMBER(Tâches!$K5),E$4&gt;=Tâches!$J5,E$4&lt;=Tâches!$K5),1,"")</f>
        <v/>
      </c>
      <c r="F6" s="14">
        <f>IF(AND(ISNUMBER(Tâches!$J5),ISNUMBER(Tâches!$K5),F$4&gt;=Tâches!$J5,F$4&lt;=Tâches!$K5),1,"")</f>
        <v>1</v>
      </c>
      <c r="G6" s="14" t="str">
        <f>IF(AND(ISNUMBER(Tâches!$J5),ISNUMBER(Tâches!$K5),G$4&gt;=Tâches!$J5,G$4&lt;=Tâches!$K5),1,"")</f>
        <v/>
      </c>
      <c r="H6" s="14" t="str">
        <f>IF(AND(ISNUMBER(Tâches!$J5),ISNUMBER(Tâches!$K5),H$4&gt;=Tâches!$J5,H$4&lt;=Tâches!$K5),1,"")</f>
        <v/>
      </c>
      <c r="I6" s="14" t="str">
        <f>IF(AND(ISNUMBER(Tâches!$J5),ISNUMBER(Tâches!$K5),I$4&gt;=Tâches!$J5,I$4&lt;=Tâches!$K5),1,"")</f>
        <v/>
      </c>
      <c r="J6" s="14" t="str">
        <f>IF(AND(ISNUMBER(Tâches!$J5),ISNUMBER(Tâches!$K5),J$4&gt;=Tâches!$J5,J$4&lt;=Tâches!$K5),1,"")</f>
        <v/>
      </c>
      <c r="K6" s="14" t="str">
        <f>IF(AND(ISNUMBER(Tâches!$J5),ISNUMBER(Tâches!$K5),K$4&gt;=Tâches!$J5,K$4&lt;=Tâches!$K5),1,"")</f>
        <v/>
      </c>
      <c r="L6" s="14" t="str">
        <f>IF(AND(ISNUMBER(Tâches!$J5),ISNUMBER(Tâches!$K5),L$4&gt;=Tâches!$J5,L$4&lt;=Tâches!$K5),1,"")</f>
        <v/>
      </c>
      <c r="M6" s="14" t="str">
        <f>IF(AND(ISNUMBER(Tâches!$J5),ISNUMBER(Tâches!$K5),M$4&gt;=Tâches!$J5,M$4&lt;=Tâches!$K5),1,"")</f>
        <v/>
      </c>
      <c r="N6" s="14" t="str">
        <f>IF(AND(ISNUMBER(Tâches!$J5),ISNUMBER(Tâches!$K5),N$4&gt;=Tâches!$J5,N$4&lt;=Tâches!$K5),1,"")</f>
        <v/>
      </c>
    </row>
    <row r="7" spans="1:14" ht="18" customHeight="1" x14ac:dyDescent="0.3">
      <c r="A7" s="14" t="str">
        <f>IF(Tâches!$C6="","",Tâches!$A6)</f>
        <v>2.1</v>
      </c>
      <c r="B7" s="14" t="str">
        <f>IF(Tâches!$C6="","",Tâches!$C6)</f>
        <v>Analyser la commande du client</v>
      </c>
      <c r="C7" s="14" t="str">
        <f>IF(Tâches!$C6="","",Tâches!$E6&amp;"")</f>
        <v>Maxime ROPARS</v>
      </c>
      <c r="D7" s="14" t="str">
        <f>IF(Tâches!$C6="","",Tâches!$M6&amp;"")</f>
        <v>Terminé</v>
      </c>
      <c r="E7" s="14">
        <f>IF(AND(ISNUMBER(Tâches!$J6),ISNUMBER(Tâches!$K6),E$4&gt;=Tâches!$J6,E$4&lt;=Tâches!$K6),1,"")</f>
        <v>1</v>
      </c>
      <c r="F7" s="14" t="str">
        <f>IF(AND(ISNUMBER(Tâches!$J6),ISNUMBER(Tâches!$K6),F$4&gt;=Tâches!$J6,F$4&lt;=Tâches!$K6),1,"")</f>
        <v/>
      </c>
      <c r="G7" s="14" t="str">
        <f>IF(AND(ISNUMBER(Tâches!$J6),ISNUMBER(Tâches!$K6),G$4&gt;=Tâches!$J6,G$4&lt;=Tâches!$K6),1,"")</f>
        <v/>
      </c>
      <c r="H7" s="14" t="str">
        <f>IF(AND(ISNUMBER(Tâches!$J6),ISNUMBER(Tâches!$K6),H$4&gt;=Tâches!$J6,H$4&lt;=Tâches!$K6),1,"")</f>
        <v/>
      </c>
      <c r="I7" s="14" t="str">
        <f>IF(AND(ISNUMBER(Tâches!$J6),ISNUMBER(Tâches!$K6),I$4&gt;=Tâches!$J6,I$4&lt;=Tâches!$K6),1,"")</f>
        <v/>
      </c>
      <c r="J7" s="14" t="str">
        <f>IF(AND(ISNUMBER(Tâches!$J6),ISNUMBER(Tâches!$K6),J$4&gt;=Tâches!$J6,J$4&lt;=Tâches!$K6),1,"")</f>
        <v/>
      </c>
      <c r="K7" s="14" t="str">
        <f>IF(AND(ISNUMBER(Tâches!$J6),ISNUMBER(Tâches!$K6),K$4&gt;=Tâches!$J6,K$4&lt;=Tâches!$K6),1,"")</f>
        <v/>
      </c>
      <c r="L7" s="14" t="str">
        <f>IF(AND(ISNUMBER(Tâches!$J6),ISNUMBER(Tâches!$K6),L$4&gt;=Tâches!$J6,L$4&lt;=Tâches!$K6),1,"")</f>
        <v/>
      </c>
      <c r="M7" s="14" t="str">
        <f>IF(AND(ISNUMBER(Tâches!$J6),ISNUMBER(Tâches!$K6),M$4&gt;=Tâches!$J6,M$4&lt;=Tâches!$K6),1,"")</f>
        <v/>
      </c>
      <c r="N7" s="14" t="str">
        <f>IF(AND(ISNUMBER(Tâches!$J6),ISNUMBER(Tâches!$K6),N$4&gt;=Tâches!$J6,N$4&lt;=Tâches!$K6),1,"")</f>
        <v/>
      </c>
    </row>
    <row r="8" spans="1:14" ht="18" customHeight="1" x14ac:dyDescent="0.3">
      <c r="A8" s="14" t="str">
        <f>IF(Tâches!$C7="","",Tâches!$A7)</f>
        <v>2.2</v>
      </c>
      <c r="B8" s="14" t="str">
        <f>IF(Tâches!$C7="","",Tâches!$C7)</f>
        <v>Relever le matériel de l'équipe</v>
      </c>
      <c r="C8" s="14" t="s">
        <v>209</v>
      </c>
      <c r="D8" s="14" t="str">
        <f>IF(Tâches!$C7="","",Tâches!$M7&amp;"")</f>
        <v>Terminé</v>
      </c>
      <c r="E8" s="14">
        <f>IF(AND(ISNUMBER(Tâches!$J7),ISNUMBER(Tâches!$K7),E$4&gt;=Tâches!$J7,E$4&lt;=Tâches!$K7),1,"")</f>
        <v>1</v>
      </c>
      <c r="F8" s="14" t="str">
        <f>IF(AND(ISNUMBER(Tâches!$J7),ISNUMBER(Tâches!$K7),F$4&gt;=Tâches!$J7,F$4&lt;=Tâches!$K7),1,"")</f>
        <v/>
      </c>
      <c r="G8" s="14" t="str">
        <f>IF(AND(ISNUMBER(Tâches!$J7),ISNUMBER(Tâches!$K7),G$4&gt;=Tâches!$J7,G$4&lt;=Tâches!$K7),1,"")</f>
        <v/>
      </c>
      <c r="H8" s="14" t="str">
        <f>IF(AND(ISNUMBER(Tâches!$J7),ISNUMBER(Tâches!$K7),H$4&gt;=Tâches!$J7,H$4&lt;=Tâches!$K7),1,"")</f>
        <v/>
      </c>
      <c r="I8" s="14" t="str">
        <f>IF(AND(ISNUMBER(Tâches!$J7),ISNUMBER(Tâches!$K7),I$4&gt;=Tâches!$J7,I$4&lt;=Tâches!$K7),1,"")</f>
        <v/>
      </c>
      <c r="J8" s="14" t="str">
        <f>IF(AND(ISNUMBER(Tâches!$J7),ISNUMBER(Tâches!$K7),J$4&gt;=Tâches!$J7,J$4&lt;=Tâches!$K7),1,"")</f>
        <v/>
      </c>
      <c r="K8" s="14" t="str">
        <f>IF(AND(ISNUMBER(Tâches!$J7),ISNUMBER(Tâches!$K7),K$4&gt;=Tâches!$J7,K$4&lt;=Tâches!$K7),1,"")</f>
        <v/>
      </c>
      <c r="L8" s="14" t="str">
        <f>IF(AND(ISNUMBER(Tâches!$J7),ISNUMBER(Tâches!$K7),L$4&gt;=Tâches!$J7,L$4&lt;=Tâches!$K7),1,"")</f>
        <v/>
      </c>
      <c r="M8" s="14" t="str">
        <f>IF(AND(ISNUMBER(Tâches!$J7),ISNUMBER(Tâches!$K7),M$4&gt;=Tâches!$J7,M$4&lt;=Tâches!$K7),1,"")</f>
        <v/>
      </c>
      <c r="N8" s="14" t="str">
        <f>IF(AND(ISNUMBER(Tâches!$J7),ISNUMBER(Tâches!$K7),N$4&gt;=Tâches!$J7,N$4&lt;=Tâches!$K7),1,"")</f>
        <v/>
      </c>
    </row>
    <row r="9" spans="1:14" ht="18" customHeight="1" x14ac:dyDescent="0.3">
      <c r="A9" s="14" t="str">
        <f>IF(Tâches!$C8="","",Tâches!$A8)</f>
        <v>2.3</v>
      </c>
      <c r="B9" s="14" t="str">
        <f>IF(Tâches!$C8="","",Tâches!$C8)</f>
        <v>Réaliser la veille sur les outils</v>
      </c>
      <c r="C9" s="14" t="str">
        <f>IF(Tâches!$C8="","",Tâches!$E8&amp;"")</f>
        <v>Eren ASLAN</v>
      </c>
      <c r="D9" s="14" t="str">
        <f>IF(Tâches!$C8="","",Tâches!$M8&amp;"")</f>
        <v>Terminé</v>
      </c>
      <c r="E9" s="14">
        <f>IF(AND(ISNUMBER(Tâches!$J8),ISNUMBER(Tâches!$K8),E$4&gt;=Tâches!$J8,E$4&lt;=Tâches!$K8),1,"")</f>
        <v>1</v>
      </c>
      <c r="F9" s="14">
        <f>IF(AND(ISNUMBER(Tâches!$J8),ISNUMBER(Tâches!$K8),F$4&gt;=Tâches!$J8,F$4&lt;=Tâches!$K8),1,"")</f>
        <v>1</v>
      </c>
      <c r="G9" s="14" t="str">
        <f>IF(AND(ISNUMBER(Tâches!$J8),ISNUMBER(Tâches!$K8),G$4&gt;=Tâches!$J8,G$4&lt;=Tâches!$K8),1,"")</f>
        <v/>
      </c>
      <c r="H9" s="14" t="str">
        <f>IF(AND(ISNUMBER(Tâches!$J8),ISNUMBER(Tâches!$K8),H$4&gt;=Tâches!$J8,H$4&lt;=Tâches!$K8),1,"")</f>
        <v/>
      </c>
      <c r="I9" s="14" t="str">
        <f>IF(AND(ISNUMBER(Tâches!$J8),ISNUMBER(Tâches!$K8),I$4&gt;=Tâches!$J8,I$4&lt;=Tâches!$K8),1,"")</f>
        <v/>
      </c>
      <c r="J9" s="14" t="str">
        <f>IF(AND(ISNUMBER(Tâches!$J8),ISNUMBER(Tâches!$K8),J$4&gt;=Tâches!$J8,J$4&lt;=Tâches!$K8),1,"")</f>
        <v/>
      </c>
      <c r="K9" s="14" t="str">
        <f>IF(AND(ISNUMBER(Tâches!$J8),ISNUMBER(Tâches!$K8),K$4&gt;=Tâches!$J8,K$4&lt;=Tâches!$K8),1,"")</f>
        <v/>
      </c>
      <c r="L9" s="14" t="str">
        <f>IF(AND(ISNUMBER(Tâches!$J8),ISNUMBER(Tâches!$K8),L$4&gt;=Tâches!$J8,L$4&lt;=Tâches!$K8),1,"")</f>
        <v/>
      </c>
      <c r="M9" s="14" t="str">
        <f>IF(AND(ISNUMBER(Tâches!$J8),ISNUMBER(Tâches!$K8),M$4&gt;=Tâches!$J8,M$4&lt;=Tâches!$K8),1,"")</f>
        <v/>
      </c>
      <c r="N9" s="14" t="str">
        <f>IF(AND(ISNUMBER(Tâches!$J8),ISNUMBER(Tâches!$K8),N$4&gt;=Tâches!$J8,N$4&lt;=Tâches!$K8),1,"")</f>
        <v/>
      </c>
    </row>
    <row r="10" spans="1:14" ht="18" customHeight="1" x14ac:dyDescent="0.3">
      <c r="A10" s="14" t="str">
        <f>IF(Tâches!$C9="","",Tâches!$A9)</f>
        <v>2.4</v>
      </c>
      <c r="B10" s="14" t="str">
        <f>IF(Tâches!$C9="","",Tâches!$C9)</f>
        <v>Rédiger la fiche d'expression du besoin</v>
      </c>
      <c r="C10" s="14" t="str">
        <f>IF(Tâches!$C9="","",Tâches!$E9&amp;"")</f>
        <v>Maxime ROPARS</v>
      </c>
      <c r="D10" s="14" t="str">
        <f>IF(Tâches!$C9="","",Tâches!$M9&amp;"")</f>
        <v>Terminé</v>
      </c>
      <c r="E10" s="14">
        <f>IF(AND(ISNUMBER(Tâches!$J9),ISNUMBER(Tâches!$K9),E$4&gt;=Tâches!$J9,E$4&lt;=Tâches!$K9),1,"")</f>
        <v>1</v>
      </c>
      <c r="F10" s="14">
        <f>IF(AND(ISNUMBER(Tâches!$J9),ISNUMBER(Tâches!$K9),F$4&gt;=Tâches!$J9,F$4&lt;=Tâches!$K9),1,"")</f>
        <v>1</v>
      </c>
      <c r="G10" s="14" t="str">
        <f>IF(AND(ISNUMBER(Tâches!$J9),ISNUMBER(Tâches!$K9),G$4&gt;=Tâches!$J9,G$4&lt;=Tâches!$K9),1,"")</f>
        <v/>
      </c>
      <c r="H10" s="14" t="str">
        <f>IF(AND(ISNUMBER(Tâches!$J9),ISNUMBER(Tâches!$K9),H$4&gt;=Tâches!$J9,H$4&lt;=Tâches!$K9),1,"")</f>
        <v/>
      </c>
      <c r="I10" s="14" t="str">
        <f>IF(AND(ISNUMBER(Tâches!$J9),ISNUMBER(Tâches!$K9),I$4&gt;=Tâches!$J9,I$4&lt;=Tâches!$K9),1,"")</f>
        <v/>
      </c>
      <c r="J10" s="14" t="str">
        <f>IF(AND(ISNUMBER(Tâches!$J9),ISNUMBER(Tâches!$K9),J$4&gt;=Tâches!$J9,J$4&lt;=Tâches!$K9),1,"")</f>
        <v/>
      </c>
      <c r="K10" s="14" t="str">
        <f>IF(AND(ISNUMBER(Tâches!$J9),ISNUMBER(Tâches!$K9),K$4&gt;=Tâches!$J9,K$4&lt;=Tâches!$K9),1,"")</f>
        <v/>
      </c>
      <c r="L10" s="14" t="str">
        <f>IF(AND(ISNUMBER(Tâches!$J9),ISNUMBER(Tâches!$K9),L$4&gt;=Tâches!$J9,L$4&lt;=Tâches!$K9),1,"")</f>
        <v/>
      </c>
      <c r="M10" s="14" t="str">
        <f>IF(AND(ISNUMBER(Tâches!$J9),ISNUMBER(Tâches!$K9),M$4&gt;=Tâches!$J9,M$4&lt;=Tâches!$K9),1,"")</f>
        <v/>
      </c>
      <c r="N10" s="14" t="str">
        <f>IF(AND(ISNUMBER(Tâches!$J9),ISNUMBER(Tâches!$K9),N$4&gt;=Tâches!$J9,N$4&lt;=Tâches!$K9),1,"")</f>
        <v/>
      </c>
    </row>
    <row r="11" spans="1:14" ht="18" customHeight="1" x14ac:dyDescent="0.3">
      <c r="A11" s="22" t="str">
        <f>IF(Tâches!$C10="","",Tâches!$A10)</f>
        <v/>
      </c>
      <c r="B11" s="23" t="str">
        <f>IF(Tâches!$C10="","",Tâches!$C10)</f>
        <v/>
      </c>
      <c r="C11" s="22" t="str">
        <f>IF(Tâches!$C10="","",Tâches!$E10&amp;"")</f>
        <v/>
      </c>
      <c r="D11" s="22" t="str">
        <f>IF(Tâches!$C10="","",Tâches!$M10&amp;"")</f>
        <v/>
      </c>
      <c r="E11" s="22" t="str">
        <f>IF(AND(ISNUMBER(Tâches!$J10),ISNUMBER(Tâches!$K10),E$4&gt;=Tâches!$J10,E$4&lt;=Tâches!$K10),1,"")</f>
        <v/>
      </c>
      <c r="F11" s="22" t="str">
        <f>IF(AND(ISNUMBER(Tâches!$J10),ISNUMBER(Tâches!$K10),F$4&gt;=Tâches!$J10,F$4&lt;=Tâches!$K10),1,"")</f>
        <v/>
      </c>
      <c r="G11" s="22" t="str">
        <f>IF(AND(ISNUMBER(Tâches!$J10),ISNUMBER(Tâches!$K10),G$4&gt;=Tâches!$J10,G$4&lt;=Tâches!$K10),1,"")</f>
        <v/>
      </c>
      <c r="H11" s="22" t="str">
        <f>IF(AND(ISNUMBER(Tâches!$J10),ISNUMBER(Tâches!$K10),H$4&gt;=Tâches!$J10,H$4&lt;=Tâches!$K10),1,"")</f>
        <v/>
      </c>
      <c r="I11" s="22" t="str">
        <f>IF(AND(ISNUMBER(Tâches!$J10),ISNUMBER(Tâches!$K10),I$4&gt;=Tâches!$J10,I$4&lt;=Tâches!$K10),1,"")</f>
        <v/>
      </c>
      <c r="J11" s="22" t="str">
        <f>IF(AND(ISNUMBER(Tâches!$J10),ISNUMBER(Tâches!$K10),J$4&gt;=Tâches!$J10,J$4&lt;=Tâches!$K10),1,"")</f>
        <v/>
      </c>
      <c r="K11" s="22" t="str">
        <f>IF(AND(ISNUMBER(Tâches!$J10),ISNUMBER(Tâches!$K10),K$4&gt;=Tâches!$J10,K$4&lt;=Tâches!$K10),1,"")</f>
        <v/>
      </c>
      <c r="L11" s="22" t="str">
        <f>IF(AND(ISNUMBER(Tâches!$J10),ISNUMBER(Tâches!$K10),L$4&gt;=Tâches!$J10,L$4&lt;=Tâches!$K10),1,"")</f>
        <v/>
      </c>
      <c r="M11" s="22" t="str">
        <f>IF(AND(ISNUMBER(Tâches!$J10),ISNUMBER(Tâches!$K10),M$4&gt;=Tâches!$J10,M$4&lt;=Tâches!$K10),1,"")</f>
        <v/>
      </c>
      <c r="N11" s="22" t="str">
        <f>IF(AND(ISNUMBER(Tâches!$J10),ISNUMBER(Tâches!$K10),N$4&gt;=Tâches!$J10,N$4&lt;=Tâches!$K10),1,"")</f>
        <v/>
      </c>
    </row>
    <row r="12" spans="1:14" ht="18" customHeight="1" x14ac:dyDescent="0.3">
      <c r="A12" s="2" t="str">
        <f>IF(Tâches!$C11="","",Tâches!$A11)</f>
        <v/>
      </c>
      <c r="B12" s="1" t="str">
        <f>IF(Tâches!$C11="","",Tâches!$C11)</f>
        <v/>
      </c>
      <c r="C12" s="2" t="str">
        <f>IF(Tâches!$C11="","",Tâches!$E11&amp;"")</f>
        <v/>
      </c>
      <c r="D12" s="2" t="str">
        <f>IF(Tâches!$C11="","",Tâches!$M11&amp;"")</f>
        <v/>
      </c>
      <c r="E12" s="2" t="str">
        <f>IF(AND(ISNUMBER(Tâches!$J11),ISNUMBER(Tâches!$K11),E$4&gt;=Tâches!$J11,E$4&lt;=Tâches!$K11),1,"")</f>
        <v/>
      </c>
      <c r="F12" s="2" t="str">
        <f>IF(AND(ISNUMBER(Tâches!$J11),ISNUMBER(Tâches!$K11),F$4&gt;=Tâches!$J11,F$4&lt;=Tâches!$K11),1,"")</f>
        <v/>
      </c>
      <c r="G12" s="2" t="str">
        <f>IF(AND(ISNUMBER(Tâches!$J11),ISNUMBER(Tâches!$K11),G$4&gt;=Tâches!$J11,G$4&lt;=Tâches!$K11),1,"")</f>
        <v/>
      </c>
      <c r="H12" s="2" t="str">
        <f>IF(AND(ISNUMBER(Tâches!$J11),ISNUMBER(Tâches!$K11),H$4&gt;=Tâches!$J11,H$4&lt;=Tâches!$K11),1,"")</f>
        <v/>
      </c>
      <c r="I12" s="2" t="str">
        <f>IF(AND(ISNUMBER(Tâches!$J11),ISNUMBER(Tâches!$K11),I$4&gt;=Tâches!$J11,I$4&lt;=Tâches!$K11),1,"")</f>
        <v/>
      </c>
      <c r="J12" s="2" t="str">
        <f>IF(AND(ISNUMBER(Tâches!$J11),ISNUMBER(Tâches!$K11),J$4&gt;=Tâches!$J11,J$4&lt;=Tâches!$K11),1,"")</f>
        <v/>
      </c>
      <c r="K12" s="2" t="str">
        <f>IF(AND(ISNUMBER(Tâches!$J11),ISNUMBER(Tâches!$K11),K$4&gt;=Tâches!$J11,K$4&lt;=Tâches!$K11),1,"")</f>
        <v/>
      </c>
      <c r="L12" s="2" t="str">
        <f>IF(AND(ISNUMBER(Tâches!$J11),ISNUMBER(Tâches!$K11),L$4&gt;=Tâches!$J11,L$4&lt;=Tâches!$K11),1,"")</f>
        <v/>
      </c>
      <c r="M12" s="2" t="str">
        <f>IF(AND(ISNUMBER(Tâches!$J11),ISNUMBER(Tâches!$K11),M$4&gt;=Tâches!$J11,M$4&lt;=Tâches!$K11),1,"")</f>
        <v/>
      </c>
      <c r="N12" s="2" t="str">
        <f>IF(AND(ISNUMBER(Tâches!$J11),ISNUMBER(Tâches!$K11),N$4&gt;=Tâches!$J11,N$4&lt;=Tâches!$K11),1,"")</f>
        <v/>
      </c>
    </row>
    <row r="13" spans="1:14" ht="18" customHeight="1" x14ac:dyDescent="0.3">
      <c r="A13" s="2" t="str">
        <f>IF(Tâches!$C12="","",Tâches!$A12)</f>
        <v/>
      </c>
      <c r="B13" s="1" t="str">
        <f>IF(Tâches!$C12="","",Tâches!$C12)</f>
        <v/>
      </c>
      <c r="C13" s="2" t="str">
        <f>IF(Tâches!$C12="","",Tâches!$E12&amp;"")</f>
        <v/>
      </c>
      <c r="D13" s="2" t="str">
        <f>IF(Tâches!$C12="","",Tâches!$M12&amp;"")</f>
        <v/>
      </c>
      <c r="E13" s="2" t="str">
        <f>IF(AND(ISNUMBER(Tâches!$J12),ISNUMBER(Tâches!$K12),E$4&gt;=Tâches!$J12,E$4&lt;=Tâches!$K12),1,"")</f>
        <v/>
      </c>
      <c r="F13" s="2" t="str">
        <f>IF(AND(ISNUMBER(Tâches!$J12),ISNUMBER(Tâches!$K12),F$4&gt;=Tâches!$J12,F$4&lt;=Tâches!$K12),1,"")</f>
        <v/>
      </c>
      <c r="G13" s="2" t="str">
        <f>IF(AND(ISNUMBER(Tâches!$J12),ISNUMBER(Tâches!$K12),G$4&gt;=Tâches!$J12,G$4&lt;=Tâches!$K12),1,"")</f>
        <v/>
      </c>
      <c r="H13" s="2" t="str">
        <f>IF(AND(ISNUMBER(Tâches!$J12),ISNUMBER(Tâches!$K12),H$4&gt;=Tâches!$J12,H$4&lt;=Tâches!$K12),1,"")</f>
        <v/>
      </c>
      <c r="I13" s="2" t="str">
        <f>IF(AND(ISNUMBER(Tâches!$J12),ISNUMBER(Tâches!$K12),I$4&gt;=Tâches!$J12,I$4&lt;=Tâches!$K12),1,"")</f>
        <v/>
      </c>
      <c r="J13" s="2" t="str">
        <f>IF(AND(ISNUMBER(Tâches!$J12),ISNUMBER(Tâches!$K12),J$4&gt;=Tâches!$J12,J$4&lt;=Tâches!$K12),1,"")</f>
        <v/>
      </c>
      <c r="K13" s="2" t="str">
        <f>IF(AND(ISNUMBER(Tâches!$J12),ISNUMBER(Tâches!$K12),K$4&gt;=Tâches!$J12,K$4&lt;=Tâches!$K12),1,"")</f>
        <v/>
      </c>
      <c r="L13" s="2" t="str">
        <f>IF(AND(ISNUMBER(Tâches!$J12),ISNUMBER(Tâches!$K12),L$4&gt;=Tâches!$J12,L$4&lt;=Tâches!$K12),1,"")</f>
        <v/>
      </c>
      <c r="M13" s="2" t="str">
        <f>IF(AND(ISNUMBER(Tâches!$J12),ISNUMBER(Tâches!$K12),M$4&gt;=Tâches!$J12,M$4&lt;=Tâches!$K12),1,"")</f>
        <v/>
      </c>
      <c r="N13" s="2" t="str">
        <f>IF(AND(ISNUMBER(Tâches!$J12),ISNUMBER(Tâches!$K12),N$4&gt;=Tâches!$J12,N$4&lt;=Tâches!$K12),1,"")</f>
        <v/>
      </c>
    </row>
    <row r="14" spans="1:14" ht="18" customHeight="1" x14ac:dyDescent="0.3">
      <c r="A14" s="2" t="str">
        <f>IF(Tâches!$C13="","",Tâches!$A13)</f>
        <v/>
      </c>
      <c r="B14" s="1" t="str">
        <f>IF(Tâches!$C13="","",Tâches!$C13)</f>
        <v/>
      </c>
      <c r="C14" s="2" t="str">
        <f>IF(Tâches!$C13="","",Tâches!$E13&amp;"")</f>
        <v/>
      </c>
      <c r="D14" s="2" t="str">
        <f>IF(Tâches!$C13="","",Tâches!$M13&amp;"")</f>
        <v/>
      </c>
      <c r="E14" s="2" t="str">
        <f>IF(AND(ISNUMBER(Tâches!$J13),ISNUMBER(Tâches!$K13),E$4&gt;=Tâches!$J13,E$4&lt;=Tâches!$K13),1,"")</f>
        <v/>
      </c>
      <c r="F14" s="2" t="str">
        <f>IF(AND(ISNUMBER(Tâches!$J13),ISNUMBER(Tâches!$K13),F$4&gt;=Tâches!$J13,F$4&lt;=Tâches!$K13),1,"")</f>
        <v/>
      </c>
      <c r="G14" s="2" t="str">
        <f>IF(AND(ISNUMBER(Tâches!$J13),ISNUMBER(Tâches!$K13),G$4&gt;=Tâches!$J13,G$4&lt;=Tâches!$K13),1,"")</f>
        <v/>
      </c>
      <c r="H14" s="2" t="str">
        <f>IF(AND(ISNUMBER(Tâches!$J13),ISNUMBER(Tâches!$K13),H$4&gt;=Tâches!$J13,H$4&lt;=Tâches!$K13),1,"")</f>
        <v/>
      </c>
      <c r="I14" s="2" t="str">
        <f>IF(AND(ISNUMBER(Tâches!$J13),ISNUMBER(Tâches!$K13),I$4&gt;=Tâches!$J13,I$4&lt;=Tâches!$K13),1,"")</f>
        <v/>
      </c>
      <c r="J14" s="2" t="str">
        <f>IF(AND(ISNUMBER(Tâches!$J13),ISNUMBER(Tâches!$K13),J$4&gt;=Tâches!$J13,J$4&lt;=Tâches!$K13),1,"")</f>
        <v/>
      </c>
      <c r="K14" s="2" t="str">
        <f>IF(AND(ISNUMBER(Tâches!$J13),ISNUMBER(Tâches!$K13),K$4&gt;=Tâches!$J13,K$4&lt;=Tâches!$K13),1,"")</f>
        <v/>
      </c>
      <c r="L14" s="2" t="str">
        <f>IF(AND(ISNUMBER(Tâches!$J13),ISNUMBER(Tâches!$K13),L$4&gt;=Tâches!$J13,L$4&lt;=Tâches!$K13),1,"")</f>
        <v/>
      </c>
      <c r="M14" s="2" t="str">
        <f>IF(AND(ISNUMBER(Tâches!$J13),ISNUMBER(Tâches!$K13),M$4&gt;=Tâches!$J13,M$4&lt;=Tâches!$K13),1,"")</f>
        <v/>
      </c>
      <c r="N14" s="2" t="str">
        <f>IF(AND(ISNUMBER(Tâches!$J13),ISNUMBER(Tâches!$K13),N$4&gt;=Tâches!$J13,N$4&lt;=Tâches!$K13),1,"")</f>
        <v/>
      </c>
    </row>
    <row r="15" spans="1:14" ht="18" customHeight="1" x14ac:dyDescent="0.3">
      <c r="A15" s="2" t="str">
        <f>IF(Tâches!$C14="","",Tâches!$A14)</f>
        <v/>
      </c>
      <c r="B15" s="1" t="str">
        <f>IF(Tâches!$C14="","",Tâches!$C14)</f>
        <v/>
      </c>
      <c r="C15" s="2" t="str">
        <f>IF(Tâches!$C14="","",Tâches!$E14&amp;"")</f>
        <v/>
      </c>
      <c r="D15" s="2" t="str">
        <f>IF(Tâches!$C14="","",Tâches!$M14&amp;"")</f>
        <v/>
      </c>
      <c r="E15" s="2" t="str">
        <f>IF(AND(ISNUMBER(Tâches!$J14),ISNUMBER(Tâches!$K14),E$4&gt;=Tâches!$J14,E$4&lt;=Tâches!$K14),1,"")</f>
        <v/>
      </c>
      <c r="F15" s="2" t="str">
        <f>IF(AND(ISNUMBER(Tâches!$J14),ISNUMBER(Tâches!$K14),F$4&gt;=Tâches!$J14,F$4&lt;=Tâches!$K14),1,"")</f>
        <v/>
      </c>
      <c r="G15" s="2" t="str">
        <f>IF(AND(ISNUMBER(Tâches!$J14),ISNUMBER(Tâches!$K14),G$4&gt;=Tâches!$J14,G$4&lt;=Tâches!$K14),1,"")</f>
        <v/>
      </c>
      <c r="H15" s="2" t="str">
        <f>IF(AND(ISNUMBER(Tâches!$J14),ISNUMBER(Tâches!$K14),H$4&gt;=Tâches!$J14,H$4&lt;=Tâches!$K14),1,"")</f>
        <v/>
      </c>
      <c r="I15" s="2" t="str">
        <f>IF(AND(ISNUMBER(Tâches!$J14),ISNUMBER(Tâches!$K14),I$4&gt;=Tâches!$J14,I$4&lt;=Tâches!$K14),1,"")</f>
        <v/>
      </c>
      <c r="J15" s="2" t="str">
        <f>IF(AND(ISNUMBER(Tâches!$J14),ISNUMBER(Tâches!$K14),J$4&gt;=Tâches!$J14,J$4&lt;=Tâches!$K14),1,"")</f>
        <v/>
      </c>
      <c r="K15" s="2" t="str">
        <f>IF(AND(ISNUMBER(Tâches!$J14),ISNUMBER(Tâches!$K14),K$4&gt;=Tâches!$J14,K$4&lt;=Tâches!$K14),1,"")</f>
        <v/>
      </c>
      <c r="L15" s="2" t="str">
        <f>IF(AND(ISNUMBER(Tâches!$J14),ISNUMBER(Tâches!$K14),L$4&gt;=Tâches!$J14,L$4&lt;=Tâches!$K14),1,"")</f>
        <v/>
      </c>
      <c r="M15" s="2" t="str">
        <f>IF(AND(ISNUMBER(Tâches!$J14),ISNUMBER(Tâches!$K14),M$4&gt;=Tâches!$J14,M$4&lt;=Tâches!$K14),1,"")</f>
        <v/>
      </c>
      <c r="N15" s="2" t="str">
        <f>IF(AND(ISNUMBER(Tâches!$J14),ISNUMBER(Tâches!$K14),N$4&gt;=Tâches!$J14,N$4&lt;=Tâches!$K14),1,"")</f>
        <v/>
      </c>
    </row>
    <row r="16" spans="1:14" ht="18" customHeight="1" x14ac:dyDescent="0.3">
      <c r="A16" s="2" t="str">
        <f>IF(Tâches!$C15="","",Tâches!$A15)</f>
        <v/>
      </c>
      <c r="B16" s="1" t="str">
        <f>IF(Tâches!$C15="","",Tâches!$C15)</f>
        <v/>
      </c>
      <c r="C16" s="2" t="str">
        <f>IF(Tâches!$C15="","",Tâches!$E15&amp;"")</f>
        <v/>
      </c>
      <c r="D16" s="2" t="str">
        <f>IF(Tâches!$C15="","",Tâches!$M15&amp;"")</f>
        <v/>
      </c>
      <c r="E16" s="2" t="str">
        <f>IF(AND(ISNUMBER(Tâches!$J15),ISNUMBER(Tâches!$K15),E$4&gt;=Tâches!$J15,E$4&lt;=Tâches!$K15),1,"")</f>
        <v/>
      </c>
      <c r="F16" s="2" t="str">
        <f>IF(AND(ISNUMBER(Tâches!$J15),ISNUMBER(Tâches!$K15),F$4&gt;=Tâches!$J15,F$4&lt;=Tâches!$K15),1,"")</f>
        <v/>
      </c>
      <c r="G16" s="2" t="str">
        <f>IF(AND(ISNUMBER(Tâches!$J15),ISNUMBER(Tâches!$K15),G$4&gt;=Tâches!$J15,G$4&lt;=Tâches!$K15),1,"")</f>
        <v/>
      </c>
      <c r="H16" s="2" t="str">
        <f>IF(AND(ISNUMBER(Tâches!$J15),ISNUMBER(Tâches!$K15),H$4&gt;=Tâches!$J15,H$4&lt;=Tâches!$K15),1,"")</f>
        <v/>
      </c>
      <c r="I16" s="2" t="str">
        <f>IF(AND(ISNUMBER(Tâches!$J15),ISNUMBER(Tâches!$K15),I$4&gt;=Tâches!$J15,I$4&lt;=Tâches!$K15),1,"")</f>
        <v/>
      </c>
      <c r="J16" s="2" t="str">
        <f>IF(AND(ISNUMBER(Tâches!$J15),ISNUMBER(Tâches!$K15),J$4&gt;=Tâches!$J15,J$4&lt;=Tâches!$K15),1,"")</f>
        <v/>
      </c>
      <c r="K16" s="2" t="str">
        <f>IF(AND(ISNUMBER(Tâches!$J15),ISNUMBER(Tâches!$K15),K$4&gt;=Tâches!$J15,K$4&lt;=Tâches!$K15),1,"")</f>
        <v/>
      </c>
      <c r="L16" s="2" t="str">
        <f>IF(AND(ISNUMBER(Tâches!$J15),ISNUMBER(Tâches!$K15),L$4&gt;=Tâches!$J15,L$4&lt;=Tâches!$K15),1,"")</f>
        <v/>
      </c>
      <c r="M16" s="2" t="str">
        <f>IF(AND(ISNUMBER(Tâches!$J15),ISNUMBER(Tâches!$K15),M$4&gt;=Tâches!$J15,M$4&lt;=Tâches!$K15),1,"")</f>
        <v/>
      </c>
      <c r="N16" s="2" t="str">
        <f>IF(AND(ISNUMBER(Tâches!$J15),ISNUMBER(Tâches!$K15),N$4&gt;=Tâches!$J15,N$4&lt;=Tâches!$K15),1,"")</f>
        <v/>
      </c>
    </row>
    <row r="17" spans="1:14" ht="18" customHeight="1" x14ac:dyDescent="0.3">
      <c r="A17" s="2" t="str">
        <f>IF(Tâches!$C16="","",Tâches!$A16)</f>
        <v/>
      </c>
      <c r="B17" s="1" t="str">
        <f>IF(Tâches!$C16="","",Tâches!$C16)</f>
        <v/>
      </c>
      <c r="C17" s="2" t="str">
        <f>IF(Tâches!$C16="","",Tâches!$E16&amp;"")</f>
        <v/>
      </c>
      <c r="D17" s="2" t="str">
        <f>IF(Tâches!$C16="","",Tâches!$M16&amp;"")</f>
        <v/>
      </c>
      <c r="E17" s="2" t="str">
        <f>IF(AND(ISNUMBER(Tâches!$J16),ISNUMBER(Tâches!$K16),E$4&gt;=Tâches!$J16,E$4&lt;=Tâches!$K16),1,"")</f>
        <v/>
      </c>
      <c r="F17" s="2" t="str">
        <f>IF(AND(ISNUMBER(Tâches!$J16),ISNUMBER(Tâches!$K16),F$4&gt;=Tâches!$J16,F$4&lt;=Tâches!$K16),1,"")</f>
        <v/>
      </c>
      <c r="G17" s="2" t="str">
        <f>IF(AND(ISNUMBER(Tâches!$J16),ISNUMBER(Tâches!$K16),G$4&gt;=Tâches!$J16,G$4&lt;=Tâches!$K16),1,"")</f>
        <v/>
      </c>
      <c r="H17" s="2" t="str">
        <f>IF(AND(ISNUMBER(Tâches!$J16),ISNUMBER(Tâches!$K16),H$4&gt;=Tâches!$J16,H$4&lt;=Tâches!$K16),1,"")</f>
        <v/>
      </c>
      <c r="I17" s="2" t="str">
        <f>IF(AND(ISNUMBER(Tâches!$J16),ISNUMBER(Tâches!$K16),I$4&gt;=Tâches!$J16,I$4&lt;=Tâches!$K16),1,"")</f>
        <v/>
      </c>
      <c r="J17" s="2" t="str">
        <f>IF(AND(ISNUMBER(Tâches!$J16),ISNUMBER(Tâches!$K16),J$4&gt;=Tâches!$J16,J$4&lt;=Tâches!$K16),1,"")</f>
        <v/>
      </c>
      <c r="K17" s="2" t="str">
        <f>IF(AND(ISNUMBER(Tâches!$J16),ISNUMBER(Tâches!$K16),K$4&gt;=Tâches!$J16,K$4&lt;=Tâches!$K16),1,"")</f>
        <v/>
      </c>
      <c r="L17" s="2" t="str">
        <f>IF(AND(ISNUMBER(Tâches!$J16),ISNUMBER(Tâches!$K16),L$4&gt;=Tâches!$J16,L$4&lt;=Tâches!$K16),1,"")</f>
        <v/>
      </c>
      <c r="M17" s="2" t="str">
        <f>IF(AND(ISNUMBER(Tâches!$J16),ISNUMBER(Tâches!$K16),M$4&gt;=Tâches!$J16,M$4&lt;=Tâches!$K16),1,"")</f>
        <v/>
      </c>
      <c r="N17" s="2" t="str">
        <f>IF(AND(ISNUMBER(Tâches!$J16),ISNUMBER(Tâches!$K16),N$4&gt;=Tâches!$J16,N$4&lt;=Tâches!$K16),1,"")</f>
        <v/>
      </c>
    </row>
    <row r="18" spans="1:14" ht="18" customHeight="1" x14ac:dyDescent="0.3">
      <c r="A18" s="2" t="str">
        <f>IF(Tâches!$C17="","",Tâches!$A17)</f>
        <v/>
      </c>
      <c r="B18" s="1" t="str">
        <f>IF(Tâches!$C17="","",Tâches!$C17)</f>
        <v/>
      </c>
      <c r="C18" s="2" t="str">
        <f>IF(Tâches!$C17="","",Tâches!$E17&amp;"")</f>
        <v/>
      </c>
      <c r="D18" s="2" t="str">
        <f>IF(Tâches!$C17="","",Tâches!$M17&amp;"")</f>
        <v/>
      </c>
      <c r="E18" s="2" t="str">
        <f>IF(AND(ISNUMBER(Tâches!$J17),ISNUMBER(Tâches!$K17),E$4&gt;=Tâches!$J17,E$4&lt;=Tâches!$K17),1,"")</f>
        <v/>
      </c>
      <c r="F18" s="2" t="str">
        <f>IF(AND(ISNUMBER(Tâches!$J17),ISNUMBER(Tâches!$K17),F$4&gt;=Tâches!$J17,F$4&lt;=Tâches!$K17),1,"")</f>
        <v/>
      </c>
      <c r="G18" s="2" t="str">
        <f>IF(AND(ISNUMBER(Tâches!$J17),ISNUMBER(Tâches!$K17),G$4&gt;=Tâches!$J17,G$4&lt;=Tâches!$K17),1,"")</f>
        <v/>
      </c>
      <c r="H18" s="2" t="str">
        <f>IF(AND(ISNUMBER(Tâches!$J17),ISNUMBER(Tâches!$K17),H$4&gt;=Tâches!$J17,H$4&lt;=Tâches!$K17),1,"")</f>
        <v/>
      </c>
      <c r="I18" s="2" t="str">
        <f>IF(AND(ISNUMBER(Tâches!$J17),ISNUMBER(Tâches!$K17),I$4&gt;=Tâches!$J17,I$4&lt;=Tâches!$K17),1,"")</f>
        <v/>
      </c>
      <c r="J18" s="2" t="str">
        <f>IF(AND(ISNUMBER(Tâches!$J17),ISNUMBER(Tâches!$K17),J$4&gt;=Tâches!$J17,J$4&lt;=Tâches!$K17),1,"")</f>
        <v/>
      </c>
      <c r="K18" s="2" t="str">
        <f>IF(AND(ISNUMBER(Tâches!$J17),ISNUMBER(Tâches!$K17),K$4&gt;=Tâches!$J17,K$4&lt;=Tâches!$K17),1,"")</f>
        <v/>
      </c>
      <c r="L18" s="2" t="str">
        <f>IF(AND(ISNUMBER(Tâches!$J17),ISNUMBER(Tâches!$K17),L$4&gt;=Tâches!$J17,L$4&lt;=Tâches!$K17),1,"")</f>
        <v/>
      </c>
      <c r="M18" s="2" t="str">
        <f>IF(AND(ISNUMBER(Tâches!$J17),ISNUMBER(Tâches!$K17),M$4&gt;=Tâches!$J17,M$4&lt;=Tâches!$K17),1,"")</f>
        <v/>
      </c>
      <c r="N18" s="2" t="str">
        <f>IF(AND(ISNUMBER(Tâches!$J17),ISNUMBER(Tâches!$K17),N$4&gt;=Tâches!$J17,N$4&lt;=Tâches!$K17),1,"")</f>
        <v/>
      </c>
    </row>
    <row r="19" spans="1:14" ht="18" customHeight="1" x14ac:dyDescent="0.3">
      <c r="A19" s="2" t="str">
        <f>IF(Tâches!$C18="","",Tâches!$A18)</f>
        <v/>
      </c>
      <c r="B19" s="1" t="str">
        <f>IF(Tâches!$C18="","",Tâches!$C18)</f>
        <v/>
      </c>
      <c r="C19" s="2" t="str">
        <f>IF(Tâches!$C18="","",Tâches!$E18&amp;"")</f>
        <v/>
      </c>
      <c r="D19" s="2" t="str">
        <f>IF(Tâches!$C18="","",Tâches!$M18&amp;"")</f>
        <v/>
      </c>
      <c r="E19" s="2" t="str">
        <f>IF(AND(ISNUMBER(Tâches!$J18),ISNUMBER(Tâches!$K18),E$4&gt;=Tâches!$J18,E$4&lt;=Tâches!$K18),1,"")</f>
        <v/>
      </c>
      <c r="F19" s="2" t="str">
        <f>IF(AND(ISNUMBER(Tâches!$J18),ISNUMBER(Tâches!$K18),F$4&gt;=Tâches!$J18,F$4&lt;=Tâches!$K18),1,"")</f>
        <v/>
      </c>
      <c r="G19" s="2" t="str">
        <f>IF(AND(ISNUMBER(Tâches!$J18),ISNUMBER(Tâches!$K18),G$4&gt;=Tâches!$J18,G$4&lt;=Tâches!$K18),1,"")</f>
        <v/>
      </c>
      <c r="H19" s="2" t="str">
        <f>IF(AND(ISNUMBER(Tâches!$J18),ISNUMBER(Tâches!$K18),H$4&gt;=Tâches!$J18,H$4&lt;=Tâches!$K18),1,"")</f>
        <v/>
      </c>
      <c r="I19" s="2" t="str">
        <f>IF(AND(ISNUMBER(Tâches!$J18),ISNUMBER(Tâches!$K18),I$4&gt;=Tâches!$J18,I$4&lt;=Tâches!$K18),1,"")</f>
        <v/>
      </c>
      <c r="J19" s="2" t="str">
        <f>IF(AND(ISNUMBER(Tâches!$J18),ISNUMBER(Tâches!$K18),J$4&gt;=Tâches!$J18,J$4&lt;=Tâches!$K18),1,"")</f>
        <v/>
      </c>
      <c r="K19" s="2" t="str">
        <f>IF(AND(ISNUMBER(Tâches!$J18),ISNUMBER(Tâches!$K18),K$4&gt;=Tâches!$J18,K$4&lt;=Tâches!$K18),1,"")</f>
        <v/>
      </c>
      <c r="L19" s="2" t="str">
        <f>IF(AND(ISNUMBER(Tâches!$J18),ISNUMBER(Tâches!$K18),L$4&gt;=Tâches!$J18,L$4&lt;=Tâches!$K18),1,"")</f>
        <v/>
      </c>
      <c r="M19" s="2" t="str">
        <f>IF(AND(ISNUMBER(Tâches!$J18),ISNUMBER(Tâches!$K18),M$4&gt;=Tâches!$J18,M$4&lt;=Tâches!$K18),1,"")</f>
        <v/>
      </c>
      <c r="N19" s="2" t="str">
        <f>IF(AND(ISNUMBER(Tâches!$J18),ISNUMBER(Tâches!$K18),N$4&gt;=Tâches!$J18,N$4&lt;=Tâches!$K18),1,"")</f>
        <v/>
      </c>
    </row>
    <row r="20" spans="1:14" ht="18" customHeight="1" x14ac:dyDescent="0.3">
      <c r="A20" s="2" t="str">
        <f>IF(Tâches!$C19="","",Tâches!$A19)</f>
        <v/>
      </c>
      <c r="B20" s="1" t="str">
        <f>IF(Tâches!$C19="","",Tâches!$C19)</f>
        <v/>
      </c>
      <c r="C20" s="2" t="str">
        <f>IF(Tâches!$C19="","",Tâches!$E19&amp;"")</f>
        <v/>
      </c>
      <c r="D20" s="2" t="str">
        <f>IF(Tâches!$C19="","",Tâches!$M19&amp;"")</f>
        <v/>
      </c>
      <c r="E20" s="2" t="str">
        <f>IF(AND(ISNUMBER(Tâches!$J19),ISNUMBER(Tâches!$K19),E$4&gt;=Tâches!$J19,E$4&lt;=Tâches!$K19),1,"")</f>
        <v/>
      </c>
      <c r="F20" s="2" t="str">
        <f>IF(AND(ISNUMBER(Tâches!$J19),ISNUMBER(Tâches!$K19),F$4&gt;=Tâches!$J19,F$4&lt;=Tâches!$K19),1,"")</f>
        <v/>
      </c>
      <c r="G20" s="2" t="str">
        <f>IF(AND(ISNUMBER(Tâches!$J19),ISNUMBER(Tâches!$K19),G$4&gt;=Tâches!$J19,G$4&lt;=Tâches!$K19),1,"")</f>
        <v/>
      </c>
      <c r="H20" s="2" t="str">
        <f>IF(AND(ISNUMBER(Tâches!$J19),ISNUMBER(Tâches!$K19),H$4&gt;=Tâches!$J19,H$4&lt;=Tâches!$K19),1,"")</f>
        <v/>
      </c>
      <c r="I20" s="2" t="str">
        <f>IF(AND(ISNUMBER(Tâches!$J19),ISNUMBER(Tâches!$K19),I$4&gt;=Tâches!$J19,I$4&lt;=Tâches!$K19),1,"")</f>
        <v/>
      </c>
      <c r="J20" s="2" t="str">
        <f>IF(AND(ISNUMBER(Tâches!$J19),ISNUMBER(Tâches!$K19),J$4&gt;=Tâches!$J19,J$4&lt;=Tâches!$K19),1,"")</f>
        <v/>
      </c>
      <c r="K20" s="2" t="str">
        <f>IF(AND(ISNUMBER(Tâches!$J19),ISNUMBER(Tâches!$K19),K$4&gt;=Tâches!$J19,K$4&lt;=Tâches!$K19),1,"")</f>
        <v/>
      </c>
      <c r="L20" s="2" t="str">
        <f>IF(AND(ISNUMBER(Tâches!$J19),ISNUMBER(Tâches!$K19),L$4&gt;=Tâches!$J19,L$4&lt;=Tâches!$K19),1,"")</f>
        <v/>
      </c>
      <c r="M20" s="2" t="str">
        <f>IF(AND(ISNUMBER(Tâches!$J19),ISNUMBER(Tâches!$K19),M$4&gt;=Tâches!$J19,M$4&lt;=Tâches!$K19),1,"")</f>
        <v/>
      </c>
      <c r="N20" s="2" t="str">
        <f>IF(AND(ISNUMBER(Tâches!$J19),ISNUMBER(Tâches!$K19),N$4&gt;=Tâches!$J19,N$4&lt;=Tâches!$K19),1,"")</f>
        <v/>
      </c>
    </row>
    <row r="21" spans="1:14" ht="18" customHeight="1" x14ac:dyDescent="0.3">
      <c r="A21" s="2" t="str">
        <f>IF(Tâches!$C20="","",Tâches!$A20)</f>
        <v/>
      </c>
      <c r="B21" s="1" t="str">
        <f>IF(Tâches!$C20="","",Tâches!$C20)</f>
        <v/>
      </c>
      <c r="C21" s="2" t="str">
        <f>IF(Tâches!$C20="","",Tâches!$E20&amp;"")</f>
        <v/>
      </c>
      <c r="D21" s="2" t="str">
        <f>IF(Tâches!$C20="","",Tâches!$M20&amp;"")</f>
        <v/>
      </c>
      <c r="E21" s="2" t="str">
        <f>IF(AND(ISNUMBER(Tâches!$J20),ISNUMBER(Tâches!$K20),E$4&gt;=Tâches!$J20,E$4&lt;=Tâches!$K20),1,"")</f>
        <v/>
      </c>
      <c r="F21" s="2" t="str">
        <f>IF(AND(ISNUMBER(Tâches!$J20),ISNUMBER(Tâches!$K20),F$4&gt;=Tâches!$J20,F$4&lt;=Tâches!$K20),1,"")</f>
        <v/>
      </c>
      <c r="G21" s="2" t="str">
        <f>IF(AND(ISNUMBER(Tâches!$J20),ISNUMBER(Tâches!$K20),G$4&gt;=Tâches!$J20,G$4&lt;=Tâches!$K20),1,"")</f>
        <v/>
      </c>
      <c r="H21" s="2" t="str">
        <f>IF(AND(ISNUMBER(Tâches!$J20),ISNUMBER(Tâches!$K20),H$4&gt;=Tâches!$J20,H$4&lt;=Tâches!$K20),1,"")</f>
        <v/>
      </c>
      <c r="I21" s="2" t="str">
        <f>IF(AND(ISNUMBER(Tâches!$J20),ISNUMBER(Tâches!$K20),I$4&gt;=Tâches!$J20,I$4&lt;=Tâches!$K20),1,"")</f>
        <v/>
      </c>
      <c r="J21" s="2" t="str">
        <f>IF(AND(ISNUMBER(Tâches!$J20),ISNUMBER(Tâches!$K20),J$4&gt;=Tâches!$J20,J$4&lt;=Tâches!$K20),1,"")</f>
        <v/>
      </c>
      <c r="K21" s="2" t="str">
        <f>IF(AND(ISNUMBER(Tâches!$J20),ISNUMBER(Tâches!$K20),K$4&gt;=Tâches!$J20,K$4&lt;=Tâches!$K20),1,"")</f>
        <v/>
      </c>
      <c r="L21" s="2" t="str">
        <f>IF(AND(ISNUMBER(Tâches!$J20),ISNUMBER(Tâches!$K20),L$4&gt;=Tâches!$J20,L$4&lt;=Tâches!$K20),1,"")</f>
        <v/>
      </c>
      <c r="M21" s="2" t="str">
        <f>IF(AND(ISNUMBER(Tâches!$J20),ISNUMBER(Tâches!$K20),M$4&gt;=Tâches!$J20,M$4&lt;=Tâches!$K20),1,"")</f>
        <v/>
      </c>
      <c r="N21" s="2" t="str">
        <f>IF(AND(ISNUMBER(Tâches!$J20),ISNUMBER(Tâches!$K20),N$4&gt;=Tâches!$J20,N$4&lt;=Tâches!$K20),1,"")</f>
        <v/>
      </c>
    </row>
    <row r="22" spans="1:14" ht="18" customHeight="1" x14ac:dyDescent="0.3">
      <c r="A22" s="2" t="str">
        <f>IF(Tâches!$C21="","",Tâches!$A21)</f>
        <v/>
      </c>
      <c r="B22" s="1" t="str">
        <f>IF(Tâches!$C21="","",Tâches!$C21)</f>
        <v/>
      </c>
      <c r="C22" s="2" t="str">
        <f>IF(Tâches!$C21="","",Tâches!$E21&amp;"")</f>
        <v/>
      </c>
      <c r="D22" s="2" t="str">
        <f>IF(Tâches!$C21="","",Tâches!$M21&amp;"")</f>
        <v/>
      </c>
      <c r="E22" s="2" t="str">
        <f>IF(AND(ISNUMBER(Tâches!$J21),ISNUMBER(Tâches!$K21),E$4&gt;=Tâches!$J21,E$4&lt;=Tâches!$K21),1,"")</f>
        <v/>
      </c>
      <c r="F22" s="2" t="str">
        <f>IF(AND(ISNUMBER(Tâches!$J21),ISNUMBER(Tâches!$K21),F$4&gt;=Tâches!$J21,F$4&lt;=Tâches!$K21),1,"")</f>
        <v/>
      </c>
      <c r="G22" s="2" t="str">
        <f>IF(AND(ISNUMBER(Tâches!$J21),ISNUMBER(Tâches!$K21),G$4&gt;=Tâches!$J21,G$4&lt;=Tâches!$K21),1,"")</f>
        <v/>
      </c>
      <c r="H22" s="2" t="str">
        <f>IF(AND(ISNUMBER(Tâches!$J21),ISNUMBER(Tâches!$K21),H$4&gt;=Tâches!$J21,H$4&lt;=Tâches!$K21),1,"")</f>
        <v/>
      </c>
      <c r="I22" s="2" t="str">
        <f>IF(AND(ISNUMBER(Tâches!$J21),ISNUMBER(Tâches!$K21),I$4&gt;=Tâches!$J21,I$4&lt;=Tâches!$K21),1,"")</f>
        <v/>
      </c>
      <c r="J22" s="2" t="str">
        <f>IF(AND(ISNUMBER(Tâches!$J21),ISNUMBER(Tâches!$K21),J$4&gt;=Tâches!$J21,J$4&lt;=Tâches!$K21),1,"")</f>
        <v/>
      </c>
      <c r="K22" s="2" t="str">
        <f>IF(AND(ISNUMBER(Tâches!$J21),ISNUMBER(Tâches!$K21),K$4&gt;=Tâches!$J21,K$4&lt;=Tâches!$K21),1,"")</f>
        <v/>
      </c>
      <c r="L22" s="2" t="str">
        <f>IF(AND(ISNUMBER(Tâches!$J21),ISNUMBER(Tâches!$K21),L$4&gt;=Tâches!$J21,L$4&lt;=Tâches!$K21),1,"")</f>
        <v/>
      </c>
      <c r="M22" s="2" t="str">
        <f>IF(AND(ISNUMBER(Tâches!$J21),ISNUMBER(Tâches!$K21),M$4&gt;=Tâches!$J21,M$4&lt;=Tâches!$K21),1,"")</f>
        <v/>
      </c>
      <c r="N22" s="2" t="str">
        <f>IF(AND(ISNUMBER(Tâches!$J21),ISNUMBER(Tâches!$K21),N$4&gt;=Tâches!$J21,N$4&lt;=Tâches!$K21),1,"")</f>
        <v/>
      </c>
    </row>
    <row r="23" spans="1:14" ht="18" customHeight="1" x14ac:dyDescent="0.3">
      <c r="A23" s="2" t="str">
        <f>IF(Tâches!$C22="","",Tâches!$A22)</f>
        <v/>
      </c>
      <c r="B23" s="1" t="str">
        <f>IF(Tâches!$C22="","",Tâches!$C22)</f>
        <v/>
      </c>
      <c r="C23" s="2" t="str">
        <f>IF(Tâches!$C22="","",Tâches!$E22&amp;"")</f>
        <v/>
      </c>
      <c r="D23" s="2" t="str">
        <f>IF(Tâches!$C22="","",Tâches!$M22&amp;"")</f>
        <v/>
      </c>
      <c r="E23" s="2" t="str">
        <f>IF(AND(ISNUMBER(Tâches!$J22),ISNUMBER(Tâches!$K22),E$4&gt;=Tâches!$J22,E$4&lt;=Tâches!$K22),1,"")</f>
        <v/>
      </c>
      <c r="F23" s="2" t="str">
        <f>IF(AND(ISNUMBER(Tâches!$J22),ISNUMBER(Tâches!$K22),F$4&gt;=Tâches!$J22,F$4&lt;=Tâches!$K22),1,"")</f>
        <v/>
      </c>
      <c r="G23" s="2" t="str">
        <f>IF(AND(ISNUMBER(Tâches!$J22),ISNUMBER(Tâches!$K22),G$4&gt;=Tâches!$J22,G$4&lt;=Tâches!$K22),1,"")</f>
        <v/>
      </c>
      <c r="H23" s="2" t="str">
        <f>IF(AND(ISNUMBER(Tâches!$J22),ISNUMBER(Tâches!$K22),H$4&gt;=Tâches!$J22,H$4&lt;=Tâches!$K22),1,"")</f>
        <v/>
      </c>
      <c r="I23" s="2" t="str">
        <f>IF(AND(ISNUMBER(Tâches!$J22),ISNUMBER(Tâches!$K22),I$4&gt;=Tâches!$J22,I$4&lt;=Tâches!$K22),1,"")</f>
        <v/>
      </c>
      <c r="J23" s="2" t="str">
        <f>IF(AND(ISNUMBER(Tâches!$J22),ISNUMBER(Tâches!$K22),J$4&gt;=Tâches!$J22,J$4&lt;=Tâches!$K22),1,"")</f>
        <v/>
      </c>
      <c r="K23" s="2" t="str">
        <f>IF(AND(ISNUMBER(Tâches!$J22),ISNUMBER(Tâches!$K22),K$4&gt;=Tâches!$J22,K$4&lt;=Tâches!$K22),1,"")</f>
        <v/>
      </c>
      <c r="L23" s="2" t="str">
        <f>IF(AND(ISNUMBER(Tâches!$J22),ISNUMBER(Tâches!$K22),L$4&gt;=Tâches!$J22,L$4&lt;=Tâches!$K22),1,"")</f>
        <v/>
      </c>
      <c r="M23" s="2" t="str">
        <f>IF(AND(ISNUMBER(Tâches!$J22),ISNUMBER(Tâches!$K22),M$4&gt;=Tâches!$J22,M$4&lt;=Tâches!$K22),1,"")</f>
        <v/>
      </c>
      <c r="N23" s="2" t="str">
        <f>IF(AND(ISNUMBER(Tâches!$J22),ISNUMBER(Tâches!$K22),N$4&gt;=Tâches!$J22,N$4&lt;=Tâches!$K22),1,"")</f>
        <v/>
      </c>
    </row>
    <row r="24" spans="1:14" ht="18" customHeight="1" x14ac:dyDescent="0.3">
      <c r="A24" s="2" t="str">
        <f>IF(Tâches!$C23="","",Tâches!$A23)</f>
        <v/>
      </c>
      <c r="B24" s="1" t="str">
        <f>IF(Tâches!$C23="","",Tâches!$C23)</f>
        <v/>
      </c>
      <c r="C24" s="2" t="str">
        <f>IF(Tâches!$C23="","",Tâches!$E23&amp;"")</f>
        <v/>
      </c>
      <c r="D24" s="2" t="str">
        <f>IF(Tâches!$C23="","",Tâches!$M23&amp;"")</f>
        <v/>
      </c>
      <c r="E24" s="2" t="str">
        <f>IF(AND(ISNUMBER(Tâches!$J23),ISNUMBER(Tâches!$K23),E$4&gt;=Tâches!$J23,E$4&lt;=Tâches!$K23),1,"")</f>
        <v/>
      </c>
      <c r="F24" s="2" t="str">
        <f>IF(AND(ISNUMBER(Tâches!$J23),ISNUMBER(Tâches!$K23),F$4&gt;=Tâches!$J23,F$4&lt;=Tâches!$K23),1,"")</f>
        <v/>
      </c>
      <c r="G24" s="2" t="str">
        <f>IF(AND(ISNUMBER(Tâches!$J23),ISNUMBER(Tâches!$K23),G$4&gt;=Tâches!$J23,G$4&lt;=Tâches!$K23),1,"")</f>
        <v/>
      </c>
      <c r="H24" s="2" t="str">
        <f>IF(AND(ISNUMBER(Tâches!$J23),ISNUMBER(Tâches!$K23),H$4&gt;=Tâches!$J23,H$4&lt;=Tâches!$K23),1,"")</f>
        <v/>
      </c>
      <c r="I24" s="2" t="str">
        <f>IF(AND(ISNUMBER(Tâches!$J23),ISNUMBER(Tâches!$K23),I$4&gt;=Tâches!$J23,I$4&lt;=Tâches!$K23),1,"")</f>
        <v/>
      </c>
      <c r="J24" s="2" t="str">
        <f>IF(AND(ISNUMBER(Tâches!$J23),ISNUMBER(Tâches!$K23),J$4&gt;=Tâches!$J23,J$4&lt;=Tâches!$K23),1,"")</f>
        <v/>
      </c>
      <c r="K24" s="2" t="str">
        <f>IF(AND(ISNUMBER(Tâches!$J23),ISNUMBER(Tâches!$K23),K$4&gt;=Tâches!$J23,K$4&lt;=Tâches!$K23),1,"")</f>
        <v/>
      </c>
      <c r="L24" s="2" t="str">
        <f>IF(AND(ISNUMBER(Tâches!$J23),ISNUMBER(Tâches!$K23),L$4&gt;=Tâches!$J23,L$4&lt;=Tâches!$K23),1,"")</f>
        <v/>
      </c>
      <c r="M24" s="2" t="str">
        <f>IF(AND(ISNUMBER(Tâches!$J23),ISNUMBER(Tâches!$K23),M$4&gt;=Tâches!$J23,M$4&lt;=Tâches!$K23),1,"")</f>
        <v/>
      </c>
      <c r="N24" s="2" t="str">
        <f>IF(AND(ISNUMBER(Tâches!$J23),ISNUMBER(Tâches!$K23),N$4&gt;=Tâches!$J23,N$4&lt;=Tâches!$K23),1,"")</f>
        <v/>
      </c>
    </row>
    <row r="25" spans="1:14" ht="18" customHeight="1" x14ac:dyDescent="0.3">
      <c r="A25" s="2" t="str">
        <f>IF(Tâches!$C24="","",Tâches!$A24)</f>
        <v/>
      </c>
      <c r="B25" s="1" t="str">
        <f>IF(Tâches!$C24="","",Tâches!$C24)</f>
        <v/>
      </c>
      <c r="C25" s="2" t="str">
        <f>IF(Tâches!$C24="","",Tâches!$E24&amp;"")</f>
        <v/>
      </c>
      <c r="D25" s="2" t="str">
        <f>IF(Tâches!$C24="","",Tâches!$M24&amp;"")</f>
        <v/>
      </c>
      <c r="E25" s="2" t="str">
        <f>IF(AND(ISNUMBER(Tâches!$J24),ISNUMBER(Tâches!$K24),E$4&gt;=Tâches!$J24,E$4&lt;=Tâches!$K24),1,"")</f>
        <v/>
      </c>
      <c r="F25" s="2" t="str">
        <f>IF(AND(ISNUMBER(Tâches!$J24),ISNUMBER(Tâches!$K24),F$4&gt;=Tâches!$J24,F$4&lt;=Tâches!$K24),1,"")</f>
        <v/>
      </c>
      <c r="G25" s="2" t="str">
        <f>IF(AND(ISNUMBER(Tâches!$J24),ISNUMBER(Tâches!$K24),G$4&gt;=Tâches!$J24,G$4&lt;=Tâches!$K24),1,"")</f>
        <v/>
      </c>
      <c r="H25" s="2" t="str">
        <f>IF(AND(ISNUMBER(Tâches!$J24),ISNUMBER(Tâches!$K24),H$4&gt;=Tâches!$J24,H$4&lt;=Tâches!$K24),1,"")</f>
        <v/>
      </c>
      <c r="I25" s="2" t="str">
        <f>IF(AND(ISNUMBER(Tâches!$J24),ISNUMBER(Tâches!$K24),I$4&gt;=Tâches!$J24,I$4&lt;=Tâches!$K24),1,"")</f>
        <v/>
      </c>
      <c r="J25" s="2" t="str">
        <f>IF(AND(ISNUMBER(Tâches!$J24),ISNUMBER(Tâches!$K24),J$4&gt;=Tâches!$J24,J$4&lt;=Tâches!$K24),1,"")</f>
        <v/>
      </c>
      <c r="K25" s="2" t="str">
        <f>IF(AND(ISNUMBER(Tâches!$J24),ISNUMBER(Tâches!$K24),K$4&gt;=Tâches!$J24,K$4&lt;=Tâches!$K24),1,"")</f>
        <v/>
      </c>
      <c r="L25" s="2" t="str">
        <f>IF(AND(ISNUMBER(Tâches!$J24),ISNUMBER(Tâches!$K24),L$4&gt;=Tâches!$J24,L$4&lt;=Tâches!$K24),1,"")</f>
        <v/>
      </c>
      <c r="M25" s="2" t="str">
        <f>IF(AND(ISNUMBER(Tâches!$J24),ISNUMBER(Tâches!$K24),M$4&gt;=Tâches!$J24,M$4&lt;=Tâches!$K24),1,"")</f>
        <v/>
      </c>
      <c r="N25" s="2" t="str">
        <f>IF(AND(ISNUMBER(Tâches!$J24),ISNUMBER(Tâches!$K24),N$4&gt;=Tâches!$J24,N$4&lt;=Tâches!$K24),1,"")</f>
        <v/>
      </c>
    </row>
    <row r="26" spans="1:14" ht="18" customHeight="1" x14ac:dyDescent="0.3">
      <c r="A26" s="2" t="str">
        <f>IF(Tâches!$C25="","",Tâches!$A25)</f>
        <v/>
      </c>
      <c r="B26" s="1" t="str">
        <f>IF(Tâches!$C25="","",Tâches!$C25)</f>
        <v/>
      </c>
      <c r="C26" s="2" t="str">
        <f>IF(Tâches!$C25="","",Tâches!$E25&amp;"")</f>
        <v/>
      </c>
      <c r="D26" s="2" t="str">
        <f>IF(Tâches!$C25="","",Tâches!$M25&amp;"")</f>
        <v/>
      </c>
      <c r="E26" s="2" t="str">
        <f>IF(AND(ISNUMBER(Tâches!$J25),ISNUMBER(Tâches!$K25),E$4&gt;=Tâches!$J25,E$4&lt;=Tâches!$K25),1,"")</f>
        <v/>
      </c>
      <c r="F26" s="2" t="str">
        <f>IF(AND(ISNUMBER(Tâches!$J25),ISNUMBER(Tâches!$K25),F$4&gt;=Tâches!$J25,F$4&lt;=Tâches!$K25),1,"")</f>
        <v/>
      </c>
      <c r="G26" s="2" t="str">
        <f>IF(AND(ISNUMBER(Tâches!$J25),ISNUMBER(Tâches!$K25),G$4&gt;=Tâches!$J25,G$4&lt;=Tâches!$K25),1,"")</f>
        <v/>
      </c>
      <c r="H26" s="2" t="str">
        <f>IF(AND(ISNUMBER(Tâches!$J25),ISNUMBER(Tâches!$K25),H$4&gt;=Tâches!$J25,H$4&lt;=Tâches!$K25),1,"")</f>
        <v/>
      </c>
      <c r="I26" s="2" t="str">
        <f>IF(AND(ISNUMBER(Tâches!$J25),ISNUMBER(Tâches!$K25),I$4&gt;=Tâches!$J25,I$4&lt;=Tâches!$K25),1,"")</f>
        <v/>
      </c>
      <c r="J26" s="2" t="str">
        <f>IF(AND(ISNUMBER(Tâches!$J25),ISNUMBER(Tâches!$K25),J$4&gt;=Tâches!$J25,J$4&lt;=Tâches!$K25),1,"")</f>
        <v/>
      </c>
      <c r="K26" s="2" t="str">
        <f>IF(AND(ISNUMBER(Tâches!$J25),ISNUMBER(Tâches!$K25),K$4&gt;=Tâches!$J25,K$4&lt;=Tâches!$K25),1,"")</f>
        <v/>
      </c>
      <c r="L26" s="2" t="str">
        <f>IF(AND(ISNUMBER(Tâches!$J25),ISNUMBER(Tâches!$K25),L$4&gt;=Tâches!$J25,L$4&lt;=Tâches!$K25),1,"")</f>
        <v/>
      </c>
      <c r="M26" s="2" t="str">
        <f>IF(AND(ISNUMBER(Tâches!$J25),ISNUMBER(Tâches!$K25),M$4&gt;=Tâches!$J25,M$4&lt;=Tâches!$K25),1,"")</f>
        <v/>
      </c>
      <c r="N26" s="2" t="str">
        <f>IF(AND(ISNUMBER(Tâches!$J25),ISNUMBER(Tâches!$K25),N$4&gt;=Tâches!$J25,N$4&lt;=Tâches!$K25),1,"")</f>
        <v/>
      </c>
    </row>
    <row r="27" spans="1:14" ht="18" customHeight="1" x14ac:dyDescent="0.3">
      <c r="A27" s="2" t="str">
        <f>IF(Tâches!$C26="","",Tâches!$A26)</f>
        <v/>
      </c>
      <c r="B27" s="1" t="str">
        <f>IF(Tâches!$C26="","",Tâches!$C26)</f>
        <v/>
      </c>
      <c r="C27" s="2" t="str">
        <f>IF(Tâches!$C26="","",Tâches!$E26&amp;"")</f>
        <v/>
      </c>
      <c r="D27" s="2" t="str">
        <f>IF(Tâches!$C26="","",Tâches!$M26&amp;"")</f>
        <v/>
      </c>
      <c r="E27" s="2" t="str">
        <f>IF(AND(ISNUMBER(Tâches!$J26),ISNUMBER(Tâches!$K26),E$4&gt;=Tâches!$J26,E$4&lt;=Tâches!$K26),1,"")</f>
        <v/>
      </c>
      <c r="F27" s="2" t="str">
        <f>IF(AND(ISNUMBER(Tâches!$J26),ISNUMBER(Tâches!$K26),F$4&gt;=Tâches!$J26,F$4&lt;=Tâches!$K26),1,"")</f>
        <v/>
      </c>
      <c r="G27" s="2" t="str">
        <f>IF(AND(ISNUMBER(Tâches!$J26),ISNUMBER(Tâches!$K26),G$4&gt;=Tâches!$J26,G$4&lt;=Tâches!$K26),1,"")</f>
        <v/>
      </c>
      <c r="H27" s="2" t="str">
        <f>IF(AND(ISNUMBER(Tâches!$J26),ISNUMBER(Tâches!$K26),H$4&gt;=Tâches!$J26,H$4&lt;=Tâches!$K26),1,"")</f>
        <v/>
      </c>
      <c r="I27" s="2" t="str">
        <f>IF(AND(ISNUMBER(Tâches!$J26),ISNUMBER(Tâches!$K26),I$4&gt;=Tâches!$J26,I$4&lt;=Tâches!$K26),1,"")</f>
        <v/>
      </c>
      <c r="J27" s="2" t="str">
        <f>IF(AND(ISNUMBER(Tâches!$J26),ISNUMBER(Tâches!$K26),J$4&gt;=Tâches!$J26,J$4&lt;=Tâches!$K26),1,"")</f>
        <v/>
      </c>
      <c r="K27" s="2" t="str">
        <f>IF(AND(ISNUMBER(Tâches!$J26),ISNUMBER(Tâches!$K26),K$4&gt;=Tâches!$J26,K$4&lt;=Tâches!$K26),1,"")</f>
        <v/>
      </c>
      <c r="L27" s="2" t="str">
        <f>IF(AND(ISNUMBER(Tâches!$J26),ISNUMBER(Tâches!$K26),L$4&gt;=Tâches!$J26,L$4&lt;=Tâches!$K26),1,"")</f>
        <v/>
      </c>
      <c r="M27" s="2" t="str">
        <f>IF(AND(ISNUMBER(Tâches!$J26),ISNUMBER(Tâches!$K26),M$4&gt;=Tâches!$J26,M$4&lt;=Tâches!$K26),1,"")</f>
        <v/>
      </c>
      <c r="N27" s="2" t="str">
        <f>IF(AND(ISNUMBER(Tâches!$J26),ISNUMBER(Tâches!$K26),N$4&gt;=Tâches!$J26,N$4&lt;=Tâches!$K26),1,"")</f>
        <v/>
      </c>
    </row>
    <row r="28" spans="1:14" ht="18" customHeight="1" x14ac:dyDescent="0.3">
      <c r="A28" s="2" t="str">
        <f>IF(Tâches!$C27="","",Tâches!$A27)</f>
        <v/>
      </c>
      <c r="B28" s="1" t="str">
        <f>IF(Tâches!$C27="","",Tâches!$C27)</f>
        <v/>
      </c>
      <c r="C28" s="2" t="str">
        <f>IF(Tâches!$C27="","",Tâches!$E27&amp;"")</f>
        <v/>
      </c>
      <c r="D28" s="2" t="str">
        <f>IF(Tâches!$C27="","",Tâches!$M27&amp;"")</f>
        <v/>
      </c>
      <c r="E28" s="2" t="str">
        <f>IF(AND(ISNUMBER(Tâches!$J27),ISNUMBER(Tâches!$K27),E$4&gt;=Tâches!$J27,E$4&lt;=Tâches!$K27),1,"")</f>
        <v/>
      </c>
      <c r="F28" s="2" t="str">
        <f>IF(AND(ISNUMBER(Tâches!$J27),ISNUMBER(Tâches!$K27),F$4&gt;=Tâches!$J27,F$4&lt;=Tâches!$K27),1,"")</f>
        <v/>
      </c>
      <c r="G28" s="2" t="str">
        <f>IF(AND(ISNUMBER(Tâches!$J27),ISNUMBER(Tâches!$K27),G$4&gt;=Tâches!$J27,G$4&lt;=Tâches!$K27),1,"")</f>
        <v/>
      </c>
      <c r="H28" s="2" t="str">
        <f>IF(AND(ISNUMBER(Tâches!$J27),ISNUMBER(Tâches!$K27),H$4&gt;=Tâches!$J27,H$4&lt;=Tâches!$K27),1,"")</f>
        <v/>
      </c>
      <c r="I28" s="2" t="str">
        <f>IF(AND(ISNUMBER(Tâches!$J27),ISNUMBER(Tâches!$K27),I$4&gt;=Tâches!$J27,I$4&lt;=Tâches!$K27),1,"")</f>
        <v/>
      </c>
      <c r="J28" s="2" t="str">
        <f>IF(AND(ISNUMBER(Tâches!$J27),ISNUMBER(Tâches!$K27),J$4&gt;=Tâches!$J27,J$4&lt;=Tâches!$K27),1,"")</f>
        <v/>
      </c>
      <c r="K28" s="2" t="str">
        <f>IF(AND(ISNUMBER(Tâches!$J27),ISNUMBER(Tâches!$K27),K$4&gt;=Tâches!$J27,K$4&lt;=Tâches!$K27),1,"")</f>
        <v/>
      </c>
      <c r="L28" s="2" t="str">
        <f>IF(AND(ISNUMBER(Tâches!$J27),ISNUMBER(Tâches!$K27),L$4&gt;=Tâches!$J27,L$4&lt;=Tâches!$K27),1,"")</f>
        <v/>
      </c>
      <c r="M28" s="2" t="str">
        <f>IF(AND(ISNUMBER(Tâches!$J27),ISNUMBER(Tâches!$K27),M$4&gt;=Tâches!$J27,M$4&lt;=Tâches!$K27),1,"")</f>
        <v/>
      </c>
      <c r="N28" s="2" t="str">
        <f>IF(AND(ISNUMBER(Tâches!$J27),ISNUMBER(Tâches!$K27),N$4&gt;=Tâches!$J27,N$4&lt;=Tâches!$K27),1,"")</f>
        <v/>
      </c>
    </row>
    <row r="29" spans="1:14" ht="18" customHeight="1" x14ac:dyDescent="0.3">
      <c r="A29" s="2" t="str">
        <f>IF(Tâches!$C28="","",Tâches!$A28)</f>
        <v/>
      </c>
      <c r="B29" s="1" t="str">
        <f>IF(Tâches!$C28="","",Tâches!$C28)</f>
        <v/>
      </c>
      <c r="C29" s="2" t="str">
        <f>IF(Tâches!$C28="","",Tâches!$E28&amp;"")</f>
        <v/>
      </c>
      <c r="D29" s="2" t="str">
        <f>IF(Tâches!$C28="","",Tâches!$M28&amp;"")</f>
        <v/>
      </c>
      <c r="E29" s="2" t="str">
        <f>IF(AND(ISNUMBER(Tâches!$J28),ISNUMBER(Tâches!$K28),E$4&gt;=Tâches!$J28,E$4&lt;=Tâches!$K28),1,"")</f>
        <v/>
      </c>
      <c r="F29" s="2" t="str">
        <f>IF(AND(ISNUMBER(Tâches!$J28),ISNUMBER(Tâches!$K28),F$4&gt;=Tâches!$J28,F$4&lt;=Tâches!$K28),1,"")</f>
        <v/>
      </c>
      <c r="G29" s="2" t="str">
        <f>IF(AND(ISNUMBER(Tâches!$J28),ISNUMBER(Tâches!$K28),G$4&gt;=Tâches!$J28,G$4&lt;=Tâches!$K28),1,"")</f>
        <v/>
      </c>
      <c r="H29" s="2" t="str">
        <f>IF(AND(ISNUMBER(Tâches!$J28),ISNUMBER(Tâches!$K28),H$4&gt;=Tâches!$J28,H$4&lt;=Tâches!$K28),1,"")</f>
        <v/>
      </c>
      <c r="I29" s="2" t="str">
        <f>IF(AND(ISNUMBER(Tâches!$J28),ISNUMBER(Tâches!$K28),I$4&gt;=Tâches!$J28,I$4&lt;=Tâches!$K28),1,"")</f>
        <v/>
      </c>
      <c r="J29" s="2" t="str">
        <f>IF(AND(ISNUMBER(Tâches!$J28),ISNUMBER(Tâches!$K28),J$4&gt;=Tâches!$J28,J$4&lt;=Tâches!$K28),1,"")</f>
        <v/>
      </c>
      <c r="K29" s="2" t="str">
        <f>IF(AND(ISNUMBER(Tâches!$J28),ISNUMBER(Tâches!$K28),K$4&gt;=Tâches!$J28,K$4&lt;=Tâches!$K28),1,"")</f>
        <v/>
      </c>
      <c r="L29" s="2" t="str">
        <f>IF(AND(ISNUMBER(Tâches!$J28),ISNUMBER(Tâches!$K28),L$4&gt;=Tâches!$J28,L$4&lt;=Tâches!$K28),1,"")</f>
        <v/>
      </c>
      <c r="M29" s="2" t="str">
        <f>IF(AND(ISNUMBER(Tâches!$J28),ISNUMBER(Tâches!$K28),M$4&gt;=Tâches!$J28,M$4&lt;=Tâches!$K28),1,"")</f>
        <v/>
      </c>
      <c r="N29" s="2" t="str">
        <f>IF(AND(ISNUMBER(Tâches!$J28),ISNUMBER(Tâches!$K28),N$4&gt;=Tâches!$J28,N$4&lt;=Tâches!$K28),1,"")</f>
        <v/>
      </c>
    </row>
    <row r="30" spans="1:14" ht="18" customHeight="1" x14ac:dyDescent="0.3">
      <c r="A30" s="2" t="str">
        <f>IF(Tâches!$C29="","",Tâches!$A29)</f>
        <v/>
      </c>
      <c r="B30" s="1" t="str">
        <f>IF(Tâches!$C29="","",Tâches!$C29)</f>
        <v/>
      </c>
      <c r="C30" s="2" t="str">
        <f>IF(Tâches!$C29="","",Tâches!$E29&amp;"")</f>
        <v/>
      </c>
      <c r="D30" s="2" t="str">
        <f>IF(Tâches!$C29="","",Tâches!$M29&amp;"")</f>
        <v/>
      </c>
      <c r="E30" s="2" t="str">
        <f>IF(AND(ISNUMBER(Tâches!$J29),ISNUMBER(Tâches!$K29),E$4&gt;=Tâches!$J29,E$4&lt;=Tâches!$K29),1,"")</f>
        <v/>
      </c>
      <c r="F30" s="2" t="str">
        <f>IF(AND(ISNUMBER(Tâches!$J29),ISNUMBER(Tâches!$K29),F$4&gt;=Tâches!$J29,F$4&lt;=Tâches!$K29),1,"")</f>
        <v/>
      </c>
      <c r="G30" s="2" t="str">
        <f>IF(AND(ISNUMBER(Tâches!$J29),ISNUMBER(Tâches!$K29),G$4&gt;=Tâches!$J29,G$4&lt;=Tâches!$K29),1,"")</f>
        <v/>
      </c>
      <c r="H30" s="2" t="str">
        <f>IF(AND(ISNUMBER(Tâches!$J29),ISNUMBER(Tâches!$K29),H$4&gt;=Tâches!$J29,H$4&lt;=Tâches!$K29),1,"")</f>
        <v/>
      </c>
      <c r="I30" s="2" t="str">
        <f>IF(AND(ISNUMBER(Tâches!$J29),ISNUMBER(Tâches!$K29),I$4&gt;=Tâches!$J29,I$4&lt;=Tâches!$K29),1,"")</f>
        <v/>
      </c>
      <c r="J30" s="2" t="str">
        <f>IF(AND(ISNUMBER(Tâches!$J29),ISNUMBER(Tâches!$K29),J$4&gt;=Tâches!$J29,J$4&lt;=Tâches!$K29),1,"")</f>
        <v/>
      </c>
      <c r="K30" s="2" t="str">
        <f>IF(AND(ISNUMBER(Tâches!$J29),ISNUMBER(Tâches!$K29),K$4&gt;=Tâches!$J29,K$4&lt;=Tâches!$K29),1,"")</f>
        <v/>
      </c>
      <c r="L30" s="2" t="str">
        <f>IF(AND(ISNUMBER(Tâches!$J29),ISNUMBER(Tâches!$K29),L$4&gt;=Tâches!$J29,L$4&lt;=Tâches!$K29),1,"")</f>
        <v/>
      </c>
      <c r="M30" s="2" t="str">
        <f>IF(AND(ISNUMBER(Tâches!$J29),ISNUMBER(Tâches!$K29),M$4&gt;=Tâches!$J29,M$4&lt;=Tâches!$K29),1,"")</f>
        <v/>
      </c>
      <c r="N30" s="2" t="str">
        <f>IF(AND(ISNUMBER(Tâches!$J29),ISNUMBER(Tâches!$K29),N$4&gt;=Tâches!$J29,N$4&lt;=Tâches!$K29),1,"")</f>
        <v/>
      </c>
    </row>
    <row r="31" spans="1:14" ht="18" customHeight="1" x14ac:dyDescent="0.3">
      <c r="A31" s="2" t="str">
        <f>IF(Tâches!$C30="","",Tâches!$A30)</f>
        <v/>
      </c>
      <c r="B31" s="1" t="str">
        <f>IF(Tâches!$C30="","",Tâches!$C30)</f>
        <v/>
      </c>
      <c r="C31" s="2" t="str">
        <f>IF(Tâches!$C30="","",Tâches!$E30&amp;"")</f>
        <v/>
      </c>
      <c r="D31" s="2" t="str">
        <f>IF(Tâches!$C30="","",Tâches!$M30&amp;"")</f>
        <v/>
      </c>
      <c r="E31" s="2" t="str">
        <f>IF(AND(ISNUMBER(Tâches!$J30),ISNUMBER(Tâches!$K30),E$4&gt;=Tâches!$J30,E$4&lt;=Tâches!$K30),1,"")</f>
        <v/>
      </c>
      <c r="F31" s="2" t="str">
        <f>IF(AND(ISNUMBER(Tâches!$J30),ISNUMBER(Tâches!$K30),F$4&gt;=Tâches!$J30,F$4&lt;=Tâches!$K30),1,"")</f>
        <v/>
      </c>
      <c r="G31" s="2" t="str">
        <f>IF(AND(ISNUMBER(Tâches!$J30),ISNUMBER(Tâches!$K30),G$4&gt;=Tâches!$J30,G$4&lt;=Tâches!$K30),1,"")</f>
        <v/>
      </c>
      <c r="H31" s="2" t="str">
        <f>IF(AND(ISNUMBER(Tâches!$J30),ISNUMBER(Tâches!$K30),H$4&gt;=Tâches!$J30,H$4&lt;=Tâches!$K30),1,"")</f>
        <v/>
      </c>
      <c r="I31" s="2" t="str">
        <f>IF(AND(ISNUMBER(Tâches!$J30),ISNUMBER(Tâches!$K30),I$4&gt;=Tâches!$J30,I$4&lt;=Tâches!$K30),1,"")</f>
        <v/>
      </c>
      <c r="J31" s="2" t="str">
        <f>IF(AND(ISNUMBER(Tâches!$J30),ISNUMBER(Tâches!$K30),J$4&gt;=Tâches!$J30,J$4&lt;=Tâches!$K30),1,"")</f>
        <v/>
      </c>
      <c r="K31" s="2" t="str">
        <f>IF(AND(ISNUMBER(Tâches!$J30),ISNUMBER(Tâches!$K30),K$4&gt;=Tâches!$J30,K$4&lt;=Tâches!$K30),1,"")</f>
        <v/>
      </c>
      <c r="L31" s="2" t="str">
        <f>IF(AND(ISNUMBER(Tâches!$J30),ISNUMBER(Tâches!$K30),L$4&gt;=Tâches!$J30,L$4&lt;=Tâches!$K30),1,"")</f>
        <v/>
      </c>
      <c r="M31" s="2" t="str">
        <f>IF(AND(ISNUMBER(Tâches!$J30),ISNUMBER(Tâches!$K30),M$4&gt;=Tâches!$J30,M$4&lt;=Tâches!$K30),1,"")</f>
        <v/>
      </c>
      <c r="N31" s="2" t="str">
        <f>IF(AND(ISNUMBER(Tâches!$J30),ISNUMBER(Tâches!$K30),N$4&gt;=Tâches!$J30,N$4&lt;=Tâches!$K30),1,"")</f>
        <v/>
      </c>
    </row>
    <row r="32" spans="1:14" ht="18" customHeight="1" x14ac:dyDescent="0.3">
      <c r="A32" s="2" t="str">
        <f>IF(Tâches!$C31="","",Tâches!$A31)</f>
        <v/>
      </c>
      <c r="B32" s="1" t="str">
        <f>IF(Tâches!$C31="","",Tâches!$C31)</f>
        <v/>
      </c>
      <c r="C32" s="2" t="str">
        <f>IF(Tâches!$C31="","",Tâches!$E31&amp;"")</f>
        <v/>
      </c>
      <c r="D32" s="2" t="str">
        <f>IF(Tâches!$C31="","",Tâches!$M31&amp;"")</f>
        <v/>
      </c>
      <c r="E32" s="2" t="str">
        <f>IF(AND(ISNUMBER(Tâches!$J31),ISNUMBER(Tâches!$K31),E$4&gt;=Tâches!$J31,E$4&lt;=Tâches!$K31),1,"")</f>
        <v/>
      </c>
      <c r="F32" s="2" t="str">
        <f>IF(AND(ISNUMBER(Tâches!$J31),ISNUMBER(Tâches!$K31),F$4&gt;=Tâches!$J31,F$4&lt;=Tâches!$K31),1,"")</f>
        <v/>
      </c>
      <c r="G32" s="2" t="str">
        <f>IF(AND(ISNUMBER(Tâches!$J31),ISNUMBER(Tâches!$K31),G$4&gt;=Tâches!$J31,G$4&lt;=Tâches!$K31),1,"")</f>
        <v/>
      </c>
      <c r="H32" s="2" t="str">
        <f>IF(AND(ISNUMBER(Tâches!$J31),ISNUMBER(Tâches!$K31),H$4&gt;=Tâches!$J31,H$4&lt;=Tâches!$K31),1,"")</f>
        <v/>
      </c>
      <c r="I32" s="2" t="str">
        <f>IF(AND(ISNUMBER(Tâches!$J31),ISNUMBER(Tâches!$K31),I$4&gt;=Tâches!$J31,I$4&lt;=Tâches!$K31),1,"")</f>
        <v/>
      </c>
      <c r="J32" s="2" t="str">
        <f>IF(AND(ISNUMBER(Tâches!$J31),ISNUMBER(Tâches!$K31),J$4&gt;=Tâches!$J31,J$4&lt;=Tâches!$K31),1,"")</f>
        <v/>
      </c>
      <c r="K32" s="2" t="str">
        <f>IF(AND(ISNUMBER(Tâches!$J31),ISNUMBER(Tâches!$K31),K$4&gt;=Tâches!$J31,K$4&lt;=Tâches!$K31),1,"")</f>
        <v/>
      </c>
      <c r="L32" s="2" t="str">
        <f>IF(AND(ISNUMBER(Tâches!$J31),ISNUMBER(Tâches!$K31),L$4&gt;=Tâches!$J31,L$4&lt;=Tâches!$K31),1,"")</f>
        <v/>
      </c>
      <c r="M32" s="2" t="str">
        <f>IF(AND(ISNUMBER(Tâches!$J31),ISNUMBER(Tâches!$K31),M$4&gt;=Tâches!$J31,M$4&lt;=Tâches!$K31),1,"")</f>
        <v/>
      </c>
      <c r="N32" s="2" t="str">
        <f>IF(AND(ISNUMBER(Tâches!$J31),ISNUMBER(Tâches!$K31),N$4&gt;=Tâches!$J31,N$4&lt;=Tâches!$K31),1,"")</f>
        <v/>
      </c>
    </row>
    <row r="33" spans="1:14" ht="18" customHeight="1" x14ac:dyDescent="0.3">
      <c r="A33" s="2" t="str">
        <f>IF(Tâches!$C32="","",Tâches!$A32)</f>
        <v/>
      </c>
      <c r="B33" s="1" t="str">
        <f>IF(Tâches!$C32="","",Tâches!$C32)</f>
        <v/>
      </c>
      <c r="C33" s="2" t="str">
        <f>IF(Tâches!$C32="","",Tâches!$E32&amp;"")</f>
        <v/>
      </c>
      <c r="D33" s="2" t="str">
        <f>IF(Tâches!$C32="","",Tâches!$M32&amp;"")</f>
        <v/>
      </c>
      <c r="E33" s="2" t="str">
        <f>IF(AND(ISNUMBER(Tâches!$J32),ISNUMBER(Tâches!$K32),E$4&gt;=Tâches!$J32,E$4&lt;=Tâches!$K32),1,"")</f>
        <v/>
      </c>
      <c r="F33" s="2" t="str">
        <f>IF(AND(ISNUMBER(Tâches!$J32),ISNUMBER(Tâches!$K32),F$4&gt;=Tâches!$J32,F$4&lt;=Tâches!$K32),1,"")</f>
        <v/>
      </c>
      <c r="G33" s="2" t="str">
        <f>IF(AND(ISNUMBER(Tâches!$J32),ISNUMBER(Tâches!$K32),G$4&gt;=Tâches!$J32,G$4&lt;=Tâches!$K32),1,"")</f>
        <v/>
      </c>
      <c r="H33" s="2" t="str">
        <f>IF(AND(ISNUMBER(Tâches!$J32),ISNUMBER(Tâches!$K32),H$4&gt;=Tâches!$J32,H$4&lt;=Tâches!$K32),1,"")</f>
        <v/>
      </c>
      <c r="I33" s="2" t="str">
        <f>IF(AND(ISNUMBER(Tâches!$J32),ISNUMBER(Tâches!$K32),I$4&gt;=Tâches!$J32,I$4&lt;=Tâches!$K32),1,"")</f>
        <v/>
      </c>
      <c r="J33" s="2" t="str">
        <f>IF(AND(ISNUMBER(Tâches!$J32),ISNUMBER(Tâches!$K32),J$4&gt;=Tâches!$J32,J$4&lt;=Tâches!$K32),1,"")</f>
        <v/>
      </c>
      <c r="K33" s="2" t="str">
        <f>IF(AND(ISNUMBER(Tâches!$J32),ISNUMBER(Tâches!$K32),K$4&gt;=Tâches!$J32,K$4&lt;=Tâches!$K32),1,"")</f>
        <v/>
      </c>
      <c r="L33" s="2" t="str">
        <f>IF(AND(ISNUMBER(Tâches!$J32),ISNUMBER(Tâches!$K32),L$4&gt;=Tâches!$J32,L$4&lt;=Tâches!$K32),1,"")</f>
        <v/>
      </c>
      <c r="M33" s="2" t="str">
        <f>IF(AND(ISNUMBER(Tâches!$J32),ISNUMBER(Tâches!$K32),M$4&gt;=Tâches!$J32,M$4&lt;=Tâches!$K32),1,"")</f>
        <v/>
      </c>
      <c r="N33" s="2" t="str">
        <f>IF(AND(ISNUMBER(Tâches!$J32),ISNUMBER(Tâches!$K32),N$4&gt;=Tâches!$J32,N$4&lt;=Tâches!$K32),1,"")</f>
        <v/>
      </c>
    </row>
    <row r="34" spans="1:14" ht="18" customHeight="1" x14ac:dyDescent="0.3">
      <c r="A34" s="2" t="str">
        <f>IF(Tâches!$C33="","",Tâches!$A33)</f>
        <v/>
      </c>
      <c r="B34" s="1" t="str">
        <f>IF(Tâches!$C33="","",Tâches!$C33)</f>
        <v/>
      </c>
      <c r="C34" s="2" t="str">
        <f>IF(Tâches!$C33="","",Tâches!$E33&amp;"")</f>
        <v/>
      </c>
      <c r="D34" s="2" t="str">
        <f>IF(Tâches!$C33="","",Tâches!$M33&amp;"")</f>
        <v/>
      </c>
      <c r="E34" s="2" t="str">
        <f>IF(AND(ISNUMBER(Tâches!$J33),ISNUMBER(Tâches!$K33),E$4&gt;=Tâches!$J33,E$4&lt;=Tâches!$K33),1,"")</f>
        <v/>
      </c>
      <c r="F34" s="2" t="str">
        <f>IF(AND(ISNUMBER(Tâches!$J33),ISNUMBER(Tâches!$K33),F$4&gt;=Tâches!$J33,F$4&lt;=Tâches!$K33),1,"")</f>
        <v/>
      </c>
      <c r="G34" s="2" t="str">
        <f>IF(AND(ISNUMBER(Tâches!$J33),ISNUMBER(Tâches!$K33),G$4&gt;=Tâches!$J33,G$4&lt;=Tâches!$K33),1,"")</f>
        <v/>
      </c>
      <c r="H34" s="2" t="str">
        <f>IF(AND(ISNUMBER(Tâches!$J33),ISNUMBER(Tâches!$K33),H$4&gt;=Tâches!$J33,H$4&lt;=Tâches!$K33),1,"")</f>
        <v/>
      </c>
      <c r="I34" s="2" t="str">
        <f>IF(AND(ISNUMBER(Tâches!$J33),ISNUMBER(Tâches!$K33),I$4&gt;=Tâches!$J33,I$4&lt;=Tâches!$K33),1,"")</f>
        <v/>
      </c>
      <c r="J34" s="2" t="str">
        <f>IF(AND(ISNUMBER(Tâches!$J33),ISNUMBER(Tâches!$K33),J$4&gt;=Tâches!$J33,J$4&lt;=Tâches!$K33),1,"")</f>
        <v/>
      </c>
      <c r="K34" s="2" t="str">
        <f>IF(AND(ISNUMBER(Tâches!$J33),ISNUMBER(Tâches!$K33),K$4&gt;=Tâches!$J33,K$4&lt;=Tâches!$K33),1,"")</f>
        <v/>
      </c>
      <c r="L34" s="2" t="str">
        <f>IF(AND(ISNUMBER(Tâches!$J33),ISNUMBER(Tâches!$K33),L$4&gt;=Tâches!$J33,L$4&lt;=Tâches!$K33),1,"")</f>
        <v/>
      </c>
      <c r="M34" s="2" t="str">
        <f>IF(AND(ISNUMBER(Tâches!$J33),ISNUMBER(Tâches!$K33),M$4&gt;=Tâches!$J33,M$4&lt;=Tâches!$K33),1,"")</f>
        <v/>
      </c>
      <c r="N34" s="2" t="str">
        <f>IF(AND(ISNUMBER(Tâches!$J33),ISNUMBER(Tâches!$K33),N$4&gt;=Tâches!$J33,N$4&lt;=Tâches!$K33),1,"")</f>
        <v/>
      </c>
    </row>
    <row r="35" spans="1:14" ht="18" customHeight="1" x14ac:dyDescent="0.3">
      <c r="A35" s="2" t="str">
        <f>IF(Tâches!$C34="","",Tâches!$A34)</f>
        <v/>
      </c>
      <c r="B35" s="1" t="str">
        <f>IF(Tâches!$C34="","",Tâches!$C34)</f>
        <v/>
      </c>
      <c r="C35" s="2" t="str">
        <f>IF(Tâches!$C34="","",Tâches!$E34&amp;"")</f>
        <v/>
      </c>
      <c r="D35" s="2" t="str">
        <f>IF(Tâches!$C34="","",Tâches!$M34&amp;"")</f>
        <v/>
      </c>
      <c r="E35" s="2" t="str">
        <f>IF(AND(ISNUMBER(Tâches!$J34),ISNUMBER(Tâches!$K34),E$4&gt;=Tâches!$J34,E$4&lt;=Tâches!$K34),1,"")</f>
        <v/>
      </c>
      <c r="F35" s="2" t="str">
        <f>IF(AND(ISNUMBER(Tâches!$J34),ISNUMBER(Tâches!$K34),F$4&gt;=Tâches!$J34,F$4&lt;=Tâches!$K34),1,"")</f>
        <v/>
      </c>
      <c r="G35" s="2" t="str">
        <f>IF(AND(ISNUMBER(Tâches!$J34),ISNUMBER(Tâches!$K34),G$4&gt;=Tâches!$J34,G$4&lt;=Tâches!$K34),1,"")</f>
        <v/>
      </c>
      <c r="H35" s="2" t="str">
        <f>IF(AND(ISNUMBER(Tâches!$J34),ISNUMBER(Tâches!$K34),H$4&gt;=Tâches!$J34,H$4&lt;=Tâches!$K34),1,"")</f>
        <v/>
      </c>
      <c r="I35" s="2" t="str">
        <f>IF(AND(ISNUMBER(Tâches!$J34),ISNUMBER(Tâches!$K34),I$4&gt;=Tâches!$J34,I$4&lt;=Tâches!$K34),1,"")</f>
        <v/>
      </c>
      <c r="J35" s="2" t="str">
        <f>IF(AND(ISNUMBER(Tâches!$J34),ISNUMBER(Tâches!$K34),J$4&gt;=Tâches!$J34,J$4&lt;=Tâches!$K34),1,"")</f>
        <v/>
      </c>
      <c r="K35" s="2" t="str">
        <f>IF(AND(ISNUMBER(Tâches!$J34),ISNUMBER(Tâches!$K34),K$4&gt;=Tâches!$J34,K$4&lt;=Tâches!$K34),1,"")</f>
        <v/>
      </c>
      <c r="L35" s="2" t="str">
        <f>IF(AND(ISNUMBER(Tâches!$J34),ISNUMBER(Tâches!$K34),L$4&gt;=Tâches!$J34,L$4&lt;=Tâches!$K34),1,"")</f>
        <v/>
      </c>
      <c r="M35" s="2" t="str">
        <f>IF(AND(ISNUMBER(Tâches!$J34),ISNUMBER(Tâches!$K34),M$4&gt;=Tâches!$J34,M$4&lt;=Tâches!$K34),1,"")</f>
        <v/>
      </c>
      <c r="N35" s="2" t="str">
        <f>IF(AND(ISNUMBER(Tâches!$J34),ISNUMBER(Tâches!$K34),N$4&gt;=Tâches!$J34,N$4&lt;=Tâches!$K34),1,"")</f>
        <v/>
      </c>
    </row>
    <row r="36" spans="1:14" ht="18" customHeight="1" x14ac:dyDescent="0.3">
      <c r="A36" s="2" t="str">
        <f>IF(Tâches!$C35="","",Tâches!$A35)</f>
        <v/>
      </c>
      <c r="B36" s="1" t="str">
        <f>IF(Tâches!$C35="","",Tâches!$C35)</f>
        <v/>
      </c>
      <c r="C36" s="2" t="str">
        <f>IF(Tâches!$C35="","",Tâches!$E35&amp;"")</f>
        <v/>
      </c>
      <c r="D36" s="2" t="str">
        <f>IF(Tâches!$C35="","",Tâches!$M35&amp;"")</f>
        <v/>
      </c>
      <c r="E36" s="2" t="str">
        <f>IF(AND(ISNUMBER(Tâches!$J35),ISNUMBER(Tâches!$K35),E$4&gt;=Tâches!$J35,E$4&lt;=Tâches!$K35),1,"")</f>
        <v/>
      </c>
      <c r="F36" s="2" t="str">
        <f>IF(AND(ISNUMBER(Tâches!$J35),ISNUMBER(Tâches!$K35),F$4&gt;=Tâches!$J35,F$4&lt;=Tâches!$K35),1,"")</f>
        <v/>
      </c>
      <c r="G36" s="2" t="str">
        <f>IF(AND(ISNUMBER(Tâches!$J35),ISNUMBER(Tâches!$K35),G$4&gt;=Tâches!$J35,G$4&lt;=Tâches!$K35),1,"")</f>
        <v/>
      </c>
      <c r="H36" s="2" t="str">
        <f>IF(AND(ISNUMBER(Tâches!$J35),ISNUMBER(Tâches!$K35),H$4&gt;=Tâches!$J35,H$4&lt;=Tâches!$K35),1,"")</f>
        <v/>
      </c>
      <c r="I36" s="2" t="str">
        <f>IF(AND(ISNUMBER(Tâches!$J35),ISNUMBER(Tâches!$K35),I$4&gt;=Tâches!$J35,I$4&lt;=Tâches!$K35),1,"")</f>
        <v/>
      </c>
      <c r="J36" s="2" t="str">
        <f>IF(AND(ISNUMBER(Tâches!$J35),ISNUMBER(Tâches!$K35),J$4&gt;=Tâches!$J35,J$4&lt;=Tâches!$K35),1,"")</f>
        <v/>
      </c>
      <c r="K36" s="2" t="str">
        <f>IF(AND(ISNUMBER(Tâches!$J35),ISNUMBER(Tâches!$K35),K$4&gt;=Tâches!$J35,K$4&lt;=Tâches!$K35),1,"")</f>
        <v/>
      </c>
      <c r="L36" s="2" t="str">
        <f>IF(AND(ISNUMBER(Tâches!$J35),ISNUMBER(Tâches!$K35),L$4&gt;=Tâches!$J35,L$4&lt;=Tâches!$K35),1,"")</f>
        <v/>
      </c>
      <c r="M36" s="2" t="str">
        <f>IF(AND(ISNUMBER(Tâches!$J35),ISNUMBER(Tâches!$K35),M$4&gt;=Tâches!$J35,M$4&lt;=Tâches!$K35),1,"")</f>
        <v/>
      </c>
      <c r="N36" s="2" t="str">
        <f>IF(AND(ISNUMBER(Tâches!$J35),ISNUMBER(Tâches!$K35),N$4&gt;=Tâches!$J35,N$4&lt;=Tâches!$K35),1,"")</f>
        <v/>
      </c>
    </row>
    <row r="37" spans="1:14" ht="18" customHeight="1" x14ac:dyDescent="0.3">
      <c r="A37" s="2" t="str">
        <f>IF(Tâches!$C36="","",Tâches!$A36)</f>
        <v/>
      </c>
      <c r="B37" s="1" t="str">
        <f>IF(Tâches!$C36="","",Tâches!$C36)</f>
        <v/>
      </c>
      <c r="C37" s="2" t="str">
        <f>IF(Tâches!$C36="","",Tâches!$E36&amp;"")</f>
        <v/>
      </c>
      <c r="D37" s="2" t="str">
        <f>IF(Tâches!$C36="","",Tâches!$M36&amp;"")</f>
        <v/>
      </c>
      <c r="E37" s="2" t="str">
        <f>IF(AND(ISNUMBER(Tâches!$J36),ISNUMBER(Tâches!$K36),E$4&gt;=Tâches!$J36,E$4&lt;=Tâches!$K36),1,"")</f>
        <v/>
      </c>
      <c r="F37" s="2" t="str">
        <f>IF(AND(ISNUMBER(Tâches!$J36),ISNUMBER(Tâches!$K36),F$4&gt;=Tâches!$J36,F$4&lt;=Tâches!$K36),1,"")</f>
        <v/>
      </c>
      <c r="G37" s="2" t="str">
        <f>IF(AND(ISNUMBER(Tâches!$J36),ISNUMBER(Tâches!$K36),G$4&gt;=Tâches!$J36,G$4&lt;=Tâches!$K36),1,"")</f>
        <v/>
      </c>
      <c r="H37" s="2" t="str">
        <f>IF(AND(ISNUMBER(Tâches!$J36),ISNUMBER(Tâches!$K36),H$4&gt;=Tâches!$J36,H$4&lt;=Tâches!$K36),1,"")</f>
        <v/>
      </c>
      <c r="I37" s="2" t="str">
        <f>IF(AND(ISNUMBER(Tâches!$J36),ISNUMBER(Tâches!$K36),I$4&gt;=Tâches!$J36,I$4&lt;=Tâches!$K36),1,"")</f>
        <v/>
      </c>
      <c r="J37" s="2" t="str">
        <f>IF(AND(ISNUMBER(Tâches!$J36),ISNUMBER(Tâches!$K36),J$4&gt;=Tâches!$J36,J$4&lt;=Tâches!$K36),1,"")</f>
        <v/>
      </c>
      <c r="K37" s="2" t="str">
        <f>IF(AND(ISNUMBER(Tâches!$J36),ISNUMBER(Tâches!$K36),K$4&gt;=Tâches!$J36,K$4&lt;=Tâches!$K36),1,"")</f>
        <v/>
      </c>
      <c r="L37" s="2" t="str">
        <f>IF(AND(ISNUMBER(Tâches!$J36),ISNUMBER(Tâches!$K36),L$4&gt;=Tâches!$J36,L$4&lt;=Tâches!$K36),1,"")</f>
        <v/>
      </c>
      <c r="M37" s="2" t="str">
        <f>IF(AND(ISNUMBER(Tâches!$J36),ISNUMBER(Tâches!$K36),M$4&gt;=Tâches!$J36,M$4&lt;=Tâches!$K36),1,"")</f>
        <v/>
      </c>
      <c r="N37" s="2" t="str">
        <f>IF(AND(ISNUMBER(Tâches!$J36),ISNUMBER(Tâches!$K36),N$4&gt;=Tâches!$J36,N$4&lt;=Tâches!$K36),1,"")</f>
        <v/>
      </c>
    </row>
    <row r="38" spans="1:14" ht="18" customHeight="1" x14ac:dyDescent="0.3">
      <c r="A38" s="2" t="str">
        <f>IF(Tâches!$C37="","",Tâches!$A37)</f>
        <v/>
      </c>
      <c r="B38" s="1" t="str">
        <f>IF(Tâches!$C37="","",Tâches!$C37)</f>
        <v/>
      </c>
      <c r="C38" s="2" t="str">
        <f>IF(Tâches!$C37="","",Tâches!$E37&amp;"")</f>
        <v/>
      </c>
      <c r="D38" s="2" t="str">
        <f>IF(Tâches!$C37="","",Tâches!$M37&amp;"")</f>
        <v/>
      </c>
      <c r="E38" s="2" t="str">
        <f>IF(AND(ISNUMBER(Tâches!$J37),ISNUMBER(Tâches!$K37),E$4&gt;=Tâches!$J37,E$4&lt;=Tâches!$K37),1,"")</f>
        <v/>
      </c>
      <c r="F38" s="2" t="str">
        <f>IF(AND(ISNUMBER(Tâches!$J37),ISNUMBER(Tâches!$K37),F$4&gt;=Tâches!$J37,F$4&lt;=Tâches!$K37),1,"")</f>
        <v/>
      </c>
      <c r="G38" s="2" t="str">
        <f>IF(AND(ISNUMBER(Tâches!$J37),ISNUMBER(Tâches!$K37),G$4&gt;=Tâches!$J37,G$4&lt;=Tâches!$K37),1,"")</f>
        <v/>
      </c>
      <c r="H38" s="2" t="str">
        <f>IF(AND(ISNUMBER(Tâches!$J37),ISNUMBER(Tâches!$K37),H$4&gt;=Tâches!$J37,H$4&lt;=Tâches!$K37),1,"")</f>
        <v/>
      </c>
      <c r="I38" s="2" t="str">
        <f>IF(AND(ISNUMBER(Tâches!$J37),ISNUMBER(Tâches!$K37),I$4&gt;=Tâches!$J37,I$4&lt;=Tâches!$K37),1,"")</f>
        <v/>
      </c>
      <c r="J38" s="2" t="str">
        <f>IF(AND(ISNUMBER(Tâches!$J37),ISNUMBER(Tâches!$K37),J$4&gt;=Tâches!$J37,J$4&lt;=Tâches!$K37),1,"")</f>
        <v/>
      </c>
      <c r="K38" s="2" t="str">
        <f>IF(AND(ISNUMBER(Tâches!$J37),ISNUMBER(Tâches!$K37),K$4&gt;=Tâches!$J37,K$4&lt;=Tâches!$K37),1,"")</f>
        <v/>
      </c>
      <c r="L38" s="2" t="str">
        <f>IF(AND(ISNUMBER(Tâches!$J37),ISNUMBER(Tâches!$K37),L$4&gt;=Tâches!$J37,L$4&lt;=Tâches!$K37),1,"")</f>
        <v/>
      </c>
      <c r="M38" s="2" t="str">
        <f>IF(AND(ISNUMBER(Tâches!$J37),ISNUMBER(Tâches!$K37),M$4&gt;=Tâches!$J37,M$4&lt;=Tâches!$K37),1,"")</f>
        <v/>
      </c>
      <c r="N38" s="2" t="str">
        <f>IF(AND(ISNUMBER(Tâches!$J37),ISNUMBER(Tâches!$K37),N$4&gt;=Tâches!$J37,N$4&lt;=Tâches!$K37),1,"")</f>
        <v/>
      </c>
    </row>
    <row r="39" spans="1:14" ht="18" customHeight="1" x14ac:dyDescent="0.3">
      <c r="A39" s="2" t="str">
        <f>IF(Tâches!$C38="","",Tâches!$A38)</f>
        <v/>
      </c>
      <c r="B39" s="1" t="str">
        <f>IF(Tâches!$C38="","",Tâches!$C38)</f>
        <v/>
      </c>
      <c r="C39" s="2" t="str">
        <f>IF(Tâches!$C38="","",Tâches!$E38&amp;"")</f>
        <v/>
      </c>
      <c r="D39" s="2" t="str">
        <f>IF(Tâches!$C38="","",Tâches!$M38&amp;"")</f>
        <v/>
      </c>
      <c r="E39" s="2" t="str">
        <f>IF(AND(ISNUMBER(Tâches!$J38),ISNUMBER(Tâches!$K38),E$4&gt;=Tâches!$J38,E$4&lt;=Tâches!$K38),1,"")</f>
        <v/>
      </c>
      <c r="F39" s="2" t="str">
        <f>IF(AND(ISNUMBER(Tâches!$J38),ISNUMBER(Tâches!$K38),F$4&gt;=Tâches!$J38,F$4&lt;=Tâches!$K38),1,"")</f>
        <v/>
      </c>
      <c r="G39" s="2" t="str">
        <f>IF(AND(ISNUMBER(Tâches!$J38),ISNUMBER(Tâches!$K38),G$4&gt;=Tâches!$J38,G$4&lt;=Tâches!$K38),1,"")</f>
        <v/>
      </c>
      <c r="H39" s="2" t="str">
        <f>IF(AND(ISNUMBER(Tâches!$J38),ISNUMBER(Tâches!$K38),H$4&gt;=Tâches!$J38,H$4&lt;=Tâches!$K38),1,"")</f>
        <v/>
      </c>
      <c r="I39" s="2" t="str">
        <f>IF(AND(ISNUMBER(Tâches!$J38),ISNUMBER(Tâches!$K38),I$4&gt;=Tâches!$J38,I$4&lt;=Tâches!$K38),1,"")</f>
        <v/>
      </c>
      <c r="J39" s="2" t="str">
        <f>IF(AND(ISNUMBER(Tâches!$J38),ISNUMBER(Tâches!$K38),J$4&gt;=Tâches!$J38,J$4&lt;=Tâches!$K38),1,"")</f>
        <v/>
      </c>
      <c r="K39" s="2" t="str">
        <f>IF(AND(ISNUMBER(Tâches!$J38),ISNUMBER(Tâches!$K38),K$4&gt;=Tâches!$J38,K$4&lt;=Tâches!$K38),1,"")</f>
        <v/>
      </c>
      <c r="L39" s="2" t="str">
        <f>IF(AND(ISNUMBER(Tâches!$J38),ISNUMBER(Tâches!$K38),L$4&gt;=Tâches!$J38,L$4&lt;=Tâches!$K38),1,"")</f>
        <v/>
      </c>
      <c r="M39" s="2" t="str">
        <f>IF(AND(ISNUMBER(Tâches!$J38),ISNUMBER(Tâches!$K38),M$4&gt;=Tâches!$J38,M$4&lt;=Tâches!$K38),1,"")</f>
        <v/>
      </c>
      <c r="N39" s="2" t="str">
        <f>IF(AND(ISNUMBER(Tâches!$J38),ISNUMBER(Tâches!$K38),N$4&gt;=Tâches!$J38,N$4&lt;=Tâches!$K38),1,"")</f>
        <v/>
      </c>
    </row>
    <row r="40" spans="1:14" ht="18" customHeight="1" x14ac:dyDescent="0.3">
      <c r="A40" s="2" t="str">
        <f>IF(Tâches!$C39="","",Tâches!$A39)</f>
        <v/>
      </c>
      <c r="B40" s="1" t="str">
        <f>IF(Tâches!$C39="","",Tâches!$C39)</f>
        <v/>
      </c>
      <c r="C40" s="2" t="str">
        <f>IF(Tâches!$C39="","",Tâches!$E39&amp;"")</f>
        <v/>
      </c>
      <c r="D40" s="2" t="str">
        <f>IF(Tâches!$C39="","",Tâches!$M39&amp;"")</f>
        <v/>
      </c>
      <c r="E40" s="2" t="str">
        <f>IF(AND(ISNUMBER(Tâches!$J39),ISNUMBER(Tâches!$K39),E$4&gt;=Tâches!$J39,E$4&lt;=Tâches!$K39),1,"")</f>
        <v/>
      </c>
      <c r="F40" s="2" t="str">
        <f>IF(AND(ISNUMBER(Tâches!$J39),ISNUMBER(Tâches!$K39),F$4&gt;=Tâches!$J39,F$4&lt;=Tâches!$K39),1,"")</f>
        <v/>
      </c>
      <c r="G40" s="2" t="str">
        <f>IF(AND(ISNUMBER(Tâches!$J39),ISNUMBER(Tâches!$K39),G$4&gt;=Tâches!$J39,G$4&lt;=Tâches!$K39),1,"")</f>
        <v/>
      </c>
      <c r="H40" s="2" t="str">
        <f>IF(AND(ISNUMBER(Tâches!$J39),ISNUMBER(Tâches!$K39),H$4&gt;=Tâches!$J39,H$4&lt;=Tâches!$K39),1,"")</f>
        <v/>
      </c>
      <c r="I40" s="2" t="str">
        <f>IF(AND(ISNUMBER(Tâches!$J39),ISNUMBER(Tâches!$K39),I$4&gt;=Tâches!$J39,I$4&lt;=Tâches!$K39),1,"")</f>
        <v/>
      </c>
      <c r="J40" s="2" t="str">
        <f>IF(AND(ISNUMBER(Tâches!$J39),ISNUMBER(Tâches!$K39),J$4&gt;=Tâches!$J39,J$4&lt;=Tâches!$K39),1,"")</f>
        <v/>
      </c>
      <c r="K40" s="2" t="str">
        <f>IF(AND(ISNUMBER(Tâches!$J39),ISNUMBER(Tâches!$K39),K$4&gt;=Tâches!$J39,K$4&lt;=Tâches!$K39),1,"")</f>
        <v/>
      </c>
      <c r="L40" s="2" t="str">
        <f>IF(AND(ISNUMBER(Tâches!$J39),ISNUMBER(Tâches!$K39),L$4&gt;=Tâches!$J39,L$4&lt;=Tâches!$K39),1,"")</f>
        <v/>
      </c>
      <c r="M40" s="2" t="str">
        <f>IF(AND(ISNUMBER(Tâches!$J39),ISNUMBER(Tâches!$K39),M$4&gt;=Tâches!$J39,M$4&lt;=Tâches!$K39),1,"")</f>
        <v/>
      </c>
      <c r="N40" s="2" t="str">
        <f>IF(AND(ISNUMBER(Tâches!$J39),ISNUMBER(Tâches!$K39),N$4&gt;=Tâches!$J39,N$4&lt;=Tâches!$K39),1,"")</f>
        <v/>
      </c>
    </row>
    <row r="41" spans="1:14" ht="18" customHeight="1" x14ac:dyDescent="0.3">
      <c r="A41" s="2" t="str">
        <f>IF(Tâches!$C40="","",Tâches!$A40)</f>
        <v/>
      </c>
      <c r="B41" s="1" t="str">
        <f>IF(Tâches!$C40="","",Tâches!$C40)</f>
        <v/>
      </c>
      <c r="C41" s="2" t="str">
        <f>IF(Tâches!$C40="","",Tâches!$E40&amp;"")</f>
        <v/>
      </c>
      <c r="D41" s="2" t="str">
        <f>IF(Tâches!$C40="","",Tâches!$M40&amp;"")</f>
        <v/>
      </c>
      <c r="E41" s="2" t="str">
        <f>IF(AND(ISNUMBER(Tâches!$J40),ISNUMBER(Tâches!$K40),E$4&gt;=Tâches!$J40,E$4&lt;=Tâches!$K40),1,"")</f>
        <v/>
      </c>
      <c r="F41" s="2" t="str">
        <f>IF(AND(ISNUMBER(Tâches!$J40),ISNUMBER(Tâches!$K40),F$4&gt;=Tâches!$J40,F$4&lt;=Tâches!$K40),1,"")</f>
        <v/>
      </c>
      <c r="G41" s="2" t="str">
        <f>IF(AND(ISNUMBER(Tâches!$J40),ISNUMBER(Tâches!$K40),G$4&gt;=Tâches!$J40,G$4&lt;=Tâches!$K40),1,"")</f>
        <v/>
      </c>
      <c r="H41" s="2" t="str">
        <f>IF(AND(ISNUMBER(Tâches!$J40),ISNUMBER(Tâches!$K40),H$4&gt;=Tâches!$J40,H$4&lt;=Tâches!$K40),1,"")</f>
        <v/>
      </c>
      <c r="I41" s="2" t="str">
        <f>IF(AND(ISNUMBER(Tâches!$J40),ISNUMBER(Tâches!$K40),I$4&gt;=Tâches!$J40,I$4&lt;=Tâches!$K40),1,"")</f>
        <v/>
      </c>
      <c r="J41" s="2" t="str">
        <f>IF(AND(ISNUMBER(Tâches!$J40),ISNUMBER(Tâches!$K40),J$4&gt;=Tâches!$J40,J$4&lt;=Tâches!$K40),1,"")</f>
        <v/>
      </c>
      <c r="K41" s="2" t="str">
        <f>IF(AND(ISNUMBER(Tâches!$J40),ISNUMBER(Tâches!$K40),K$4&gt;=Tâches!$J40,K$4&lt;=Tâches!$K40),1,"")</f>
        <v/>
      </c>
      <c r="L41" s="2" t="str">
        <f>IF(AND(ISNUMBER(Tâches!$J40),ISNUMBER(Tâches!$K40),L$4&gt;=Tâches!$J40,L$4&lt;=Tâches!$K40),1,"")</f>
        <v/>
      </c>
      <c r="M41" s="2" t="str">
        <f>IF(AND(ISNUMBER(Tâches!$J40),ISNUMBER(Tâches!$K40),M$4&gt;=Tâches!$J40,M$4&lt;=Tâches!$K40),1,"")</f>
        <v/>
      </c>
      <c r="N41" s="2" t="str">
        <f>IF(AND(ISNUMBER(Tâches!$J40),ISNUMBER(Tâches!$K40),N$4&gt;=Tâches!$J40,N$4&lt;=Tâches!$K40),1,"")</f>
        <v/>
      </c>
    </row>
    <row r="42" spans="1:14" ht="18" customHeight="1" x14ac:dyDescent="0.3">
      <c r="A42" s="2" t="str">
        <f>IF(Tâches!$C41="","",Tâches!$A41)</f>
        <v/>
      </c>
      <c r="B42" s="1" t="str">
        <f>IF(Tâches!$C41="","",Tâches!$C41)</f>
        <v/>
      </c>
      <c r="C42" s="2" t="str">
        <f>IF(Tâches!$C41="","",Tâches!$E41&amp;"")</f>
        <v/>
      </c>
      <c r="D42" s="2" t="str">
        <f>IF(Tâches!$C41="","",Tâches!$M41&amp;"")</f>
        <v/>
      </c>
      <c r="E42" s="2" t="str">
        <f>IF(AND(ISNUMBER(Tâches!$J41),ISNUMBER(Tâches!$K41),E$4&gt;=Tâches!$J41,E$4&lt;=Tâches!$K41),1,"")</f>
        <v/>
      </c>
      <c r="F42" s="2" t="str">
        <f>IF(AND(ISNUMBER(Tâches!$J41),ISNUMBER(Tâches!$K41),F$4&gt;=Tâches!$J41,F$4&lt;=Tâches!$K41),1,"")</f>
        <v/>
      </c>
      <c r="G42" s="2" t="str">
        <f>IF(AND(ISNUMBER(Tâches!$J41),ISNUMBER(Tâches!$K41),G$4&gt;=Tâches!$J41,G$4&lt;=Tâches!$K41),1,"")</f>
        <v/>
      </c>
      <c r="H42" s="2" t="str">
        <f>IF(AND(ISNUMBER(Tâches!$J41),ISNUMBER(Tâches!$K41),H$4&gt;=Tâches!$J41,H$4&lt;=Tâches!$K41),1,"")</f>
        <v/>
      </c>
      <c r="I42" s="2" t="str">
        <f>IF(AND(ISNUMBER(Tâches!$J41),ISNUMBER(Tâches!$K41),I$4&gt;=Tâches!$J41,I$4&lt;=Tâches!$K41),1,"")</f>
        <v/>
      </c>
      <c r="J42" s="2" t="str">
        <f>IF(AND(ISNUMBER(Tâches!$J41),ISNUMBER(Tâches!$K41),J$4&gt;=Tâches!$J41,J$4&lt;=Tâches!$K41),1,"")</f>
        <v/>
      </c>
      <c r="K42" s="2" t="str">
        <f>IF(AND(ISNUMBER(Tâches!$J41),ISNUMBER(Tâches!$K41),K$4&gt;=Tâches!$J41,K$4&lt;=Tâches!$K41),1,"")</f>
        <v/>
      </c>
      <c r="L42" s="2" t="str">
        <f>IF(AND(ISNUMBER(Tâches!$J41),ISNUMBER(Tâches!$K41),L$4&gt;=Tâches!$J41,L$4&lt;=Tâches!$K41),1,"")</f>
        <v/>
      </c>
      <c r="M42" s="2" t="str">
        <f>IF(AND(ISNUMBER(Tâches!$J41),ISNUMBER(Tâches!$K41),M$4&gt;=Tâches!$J41,M$4&lt;=Tâches!$K41),1,"")</f>
        <v/>
      </c>
      <c r="N42" s="2" t="str">
        <f>IF(AND(ISNUMBER(Tâches!$J41),ISNUMBER(Tâches!$K41),N$4&gt;=Tâches!$J41,N$4&lt;=Tâches!$K41),1,"")</f>
        <v/>
      </c>
    </row>
    <row r="43" spans="1:14" ht="18" customHeight="1" x14ac:dyDescent="0.3">
      <c r="A43" s="2" t="str">
        <f>IF(Tâches!$C42="","",Tâches!$A42)</f>
        <v/>
      </c>
      <c r="B43" s="1" t="str">
        <f>IF(Tâches!$C42="","",Tâches!$C42)</f>
        <v/>
      </c>
      <c r="C43" s="2" t="str">
        <f>IF(Tâches!$C42="","",Tâches!$E42&amp;"")</f>
        <v/>
      </c>
      <c r="D43" s="2" t="str">
        <f>IF(Tâches!$C42="","",Tâches!$M42&amp;"")</f>
        <v/>
      </c>
      <c r="E43" s="2" t="str">
        <f>IF(AND(ISNUMBER(Tâches!$J42),ISNUMBER(Tâches!$K42),E$4&gt;=Tâches!$J42,E$4&lt;=Tâches!$K42),1,"")</f>
        <v/>
      </c>
      <c r="F43" s="2" t="str">
        <f>IF(AND(ISNUMBER(Tâches!$J42),ISNUMBER(Tâches!$K42),F$4&gt;=Tâches!$J42,F$4&lt;=Tâches!$K42),1,"")</f>
        <v/>
      </c>
      <c r="G43" s="2" t="str">
        <f>IF(AND(ISNUMBER(Tâches!$J42),ISNUMBER(Tâches!$K42),G$4&gt;=Tâches!$J42,G$4&lt;=Tâches!$K42),1,"")</f>
        <v/>
      </c>
      <c r="H43" s="2" t="str">
        <f>IF(AND(ISNUMBER(Tâches!$J42),ISNUMBER(Tâches!$K42),H$4&gt;=Tâches!$J42,H$4&lt;=Tâches!$K42),1,"")</f>
        <v/>
      </c>
      <c r="I43" s="2" t="str">
        <f>IF(AND(ISNUMBER(Tâches!$J42),ISNUMBER(Tâches!$K42),I$4&gt;=Tâches!$J42,I$4&lt;=Tâches!$K42),1,"")</f>
        <v/>
      </c>
      <c r="J43" s="2" t="str">
        <f>IF(AND(ISNUMBER(Tâches!$J42),ISNUMBER(Tâches!$K42),J$4&gt;=Tâches!$J42,J$4&lt;=Tâches!$K42),1,"")</f>
        <v/>
      </c>
      <c r="K43" s="2" t="str">
        <f>IF(AND(ISNUMBER(Tâches!$J42),ISNUMBER(Tâches!$K42),K$4&gt;=Tâches!$J42,K$4&lt;=Tâches!$K42),1,"")</f>
        <v/>
      </c>
      <c r="L43" s="2" t="str">
        <f>IF(AND(ISNUMBER(Tâches!$J42),ISNUMBER(Tâches!$K42),L$4&gt;=Tâches!$J42,L$4&lt;=Tâches!$K42),1,"")</f>
        <v/>
      </c>
      <c r="M43" s="2" t="str">
        <f>IF(AND(ISNUMBER(Tâches!$J42),ISNUMBER(Tâches!$K42),M$4&gt;=Tâches!$J42,M$4&lt;=Tâches!$K42),1,"")</f>
        <v/>
      </c>
      <c r="N43" s="2" t="str">
        <f>IF(AND(ISNUMBER(Tâches!$J42),ISNUMBER(Tâches!$K42),N$4&gt;=Tâches!$J42,N$4&lt;=Tâches!$K42),1,"")</f>
        <v/>
      </c>
    </row>
    <row r="44" spans="1:14" ht="18" customHeight="1" x14ac:dyDescent="0.3">
      <c r="A44" s="2" t="str">
        <f>IF(Tâches!$C43="","",Tâches!$A43)</f>
        <v/>
      </c>
      <c r="B44" s="1" t="str">
        <f>IF(Tâches!$C43="","",Tâches!$C43)</f>
        <v/>
      </c>
      <c r="C44" s="2" t="str">
        <f>IF(Tâches!$C43="","",Tâches!$E43&amp;"")</f>
        <v/>
      </c>
      <c r="D44" s="2" t="str">
        <f>IF(Tâches!$C43="","",Tâches!$M43&amp;"")</f>
        <v/>
      </c>
      <c r="E44" s="2" t="str">
        <f>IF(AND(ISNUMBER(Tâches!$J43),ISNUMBER(Tâches!$K43),E$4&gt;=Tâches!$J43,E$4&lt;=Tâches!$K43),1,"")</f>
        <v/>
      </c>
      <c r="F44" s="2" t="str">
        <f>IF(AND(ISNUMBER(Tâches!$J43),ISNUMBER(Tâches!$K43),F$4&gt;=Tâches!$J43,F$4&lt;=Tâches!$K43),1,"")</f>
        <v/>
      </c>
      <c r="G44" s="2" t="str">
        <f>IF(AND(ISNUMBER(Tâches!$J43),ISNUMBER(Tâches!$K43),G$4&gt;=Tâches!$J43,G$4&lt;=Tâches!$K43),1,"")</f>
        <v/>
      </c>
      <c r="H44" s="2" t="str">
        <f>IF(AND(ISNUMBER(Tâches!$J43),ISNUMBER(Tâches!$K43),H$4&gt;=Tâches!$J43,H$4&lt;=Tâches!$K43),1,"")</f>
        <v/>
      </c>
      <c r="I44" s="2" t="str">
        <f>IF(AND(ISNUMBER(Tâches!$J43),ISNUMBER(Tâches!$K43),I$4&gt;=Tâches!$J43,I$4&lt;=Tâches!$K43),1,"")</f>
        <v/>
      </c>
      <c r="J44" s="2" t="str">
        <f>IF(AND(ISNUMBER(Tâches!$J43),ISNUMBER(Tâches!$K43),J$4&gt;=Tâches!$J43,J$4&lt;=Tâches!$K43),1,"")</f>
        <v/>
      </c>
      <c r="K44" s="2" t="str">
        <f>IF(AND(ISNUMBER(Tâches!$J43),ISNUMBER(Tâches!$K43),K$4&gt;=Tâches!$J43,K$4&lt;=Tâches!$K43),1,"")</f>
        <v/>
      </c>
      <c r="L44" s="2" t="str">
        <f>IF(AND(ISNUMBER(Tâches!$J43),ISNUMBER(Tâches!$K43),L$4&gt;=Tâches!$J43,L$4&lt;=Tâches!$K43),1,"")</f>
        <v/>
      </c>
      <c r="M44" s="2" t="str">
        <f>IF(AND(ISNUMBER(Tâches!$J43),ISNUMBER(Tâches!$K43),M$4&gt;=Tâches!$J43,M$4&lt;=Tâches!$K43),1,"")</f>
        <v/>
      </c>
      <c r="N44" s="2" t="str">
        <f>IF(AND(ISNUMBER(Tâches!$J43),ISNUMBER(Tâches!$K43),N$4&gt;=Tâches!$J43,N$4&lt;=Tâches!$K43),1,"")</f>
        <v/>
      </c>
    </row>
    <row r="45" spans="1:14" ht="18" customHeight="1" x14ac:dyDescent="0.3">
      <c r="A45" s="2" t="str">
        <f>IF(Tâches!$C44="","",Tâches!$A44)</f>
        <v/>
      </c>
      <c r="B45" s="1" t="str">
        <f>IF(Tâches!$C44="","",Tâches!$C44)</f>
        <v/>
      </c>
      <c r="C45" s="2" t="str">
        <f>IF(Tâches!$C44="","",Tâches!$E44&amp;"")</f>
        <v/>
      </c>
      <c r="D45" s="2" t="str">
        <f>IF(Tâches!$C44="","",Tâches!$M44&amp;"")</f>
        <v/>
      </c>
      <c r="E45" s="2" t="str">
        <f>IF(AND(ISNUMBER(Tâches!$J44),ISNUMBER(Tâches!$K44),E$4&gt;=Tâches!$J44,E$4&lt;=Tâches!$K44),1,"")</f>
        <v/>
      </c>
      <c r="F45" s="2" t="str">
        <f>IF(AND(ISNUMBER(Tâches!$J44),ISNUMBER(Tâches!$K44),F$4&gt;=Tâches!$J44,F$4&lt;=Tâches!$K44),1,"")</f>
        <v/>
      </c>
      <c r="G45" s="2" t="str">
        <f>IF(AND(ISNUMBER(Tâches!$J44),ISNUMBER(Tâches!$K44),G$4&gt;=Tâches!$J44,G$4&lt;=Tâches!$K44),1,"")</f>
        <v/>
      </c>
      <c r="H45" s="2" t="str">
        <f>IF(AND(ISNUMBER(Tâches!$J44),ISNUMBER(Tâches!$K44),H$4&gt;=Tâches!$J44,H$4&lt;=Tâches!$K44),1,"")</f>
        <v/>
      </c>
      <c r="I45" s="2" t="str">
        <f>IF(AND(ISNUMBER(Tâches!$J44),ISNUMBER(Tâches!$K44),I$4&gt;=Tâches!$J44,I$4&lt;=Tâches!$K44),1,"")</f>
        <v/>
      </c>
      <c r="J45" s="2" t="str">
        <f>IF(AND(ISNUMBER(Tâches!$J44),ISNUMBER(Tâches!$K44),J$4&gt;=Tâches!$J44,J$4&lt;=Tâches!$K44),1,"")</f>
        <v/>
      </c>
      <c r="K45" s="2" t="str">
        <f>IF(AND(ISNUMBER(Tâches!$J44),ISNUMBER(Tâches!$K44),K$4&gt;=Tâches!$J44,K$4&lt;=Tâches!$K44),1,"")</f>
        <v/>
      </c>
      <c r="L45" s="2" t="str">
        <f>IF(AND(ISNUMBER(Tâches!$J44),ISNUMBER(Tâches!$K44),L$4&gt;=Tâches!$J44,L$4&lt;=Tâches!$K44),1,"")</f>
        <v/>
      </c>
      <c r="M45" s="2" t="str">
        <f>IF(AND(ISNUMBER(Tâches!$J44),ISNUMBER(Tâches!$K44),M$4&gt;=Tâches!$J44,M$4&lt;=Tâches!$K44),1,"")</f>
        <v/>
      </c>
      <c r="N45" s="2" t="str">
        <f>IF(AND(ISNUMBER(Tâches!$J44),ISNUMBER(Tâches!$K44),N$4&gt;=Tâches!$J44,N$4&lt;=Tâches!$K44),1,"")</f>
        <v/>
      </c>
    </row>
    <row r="46" spans="1:14" ht="18" customHeight="1" x14ac:dyDescent="0.3">
      <c r="A46" s="2" t="str">
        <f>IF(Tâches!$C45="","",Tâches!$A45)</f>
        <v/>
      </c>
      <c r="B46" s="1" t="str">
        <f>IF(Tâches!$C45="","",Tâches!$C45)</f>
        <v/>
      </c>
      <c r="C46" s="2" t="str">
        <f>IF(Tâches!$C45="","",Tâches!$E45&amp;"")</f>
        <v/>
      </c>
      <c r="D46" s="2" t="str">
        <f>IF(Tâches!$C45="","",Tâches!$M45&amp;"")</f>
        <v/>
      </c>
      <c r="E46" s="2" t="str">
        <f>IF(AND(ISNUMBER(Tâches!$J45),ISNUMBER(Tâches!$K45),E$4&gt;=Tâches!$J45,E$4&lt;=Tâches!$K45),1,"")</f>
        <v/>
      </c>
      <c r="F46" s="2" t="str">
        <f>IF(AND(ISNUMBER(Tâches!$J45),ISNUMBER(Tâches!$K45),F$4&gt;=Tâches!$J45,F$4&lt;=Tâches!$K45),1,"")</f>
        <v/>
      </c>
      <c r="G46" s="2" t="str">
        <f>IF(AND(ISNUMBER(Tâches!$J45),ISNUMBER(Tâches!$K45),G$4&gt;=Tâches!$J45,G$4&lt;=Tâches!$K45),1,"")</f>
        <v/>
      </c>
      <c r="H46" s="2" t="str">
        <f>IF(AND(ISNUMBER(Tâches!$J45),ISNUMBER(Tâches!$K45),H$4&gt;=Tâches!$J45,H$4&lt;=Tâches!$K45),1,"")</f>
        <v/>
      </c>
      <c r="I46" s="2" t="str">
        <f>IF(AND(ISNUMBER(Tâches!$J45),ISNUMBER(Tâches!$K45),I$4&gt;=Tâches!$J45,I$4&lt;=Tâches!$K45),1,"")</f>
        <v/>
      </c>
      <c r="J46" s="2" t="str">
        <f>IF(AND(ISNUMBER(Tâches!$J45),ISNUMBER(Tâches!$K45),J$4&gt;=Tâches!$J45,J$4&lt;=Tâches!$K45),1,"")</f>
        <v/>
      </c>
      <c r="K46" s="2" t="str">
        <f>IF(AND(ISNUMBER(Tâches!$J45),ISNUMBER(Tâches!$K45),K$4&gt;=Tâches!$J45,K$4&lt;=Tâches!$K45),1,"")</f>
        <v/>
      </c>
      <c r="L46" s="2" t="str">
        <f>IF(AND(ISNUMBER(Tâches!$J45),ISNUMBER(Tâches!$K45),L$4&gt;=Tâches!$J45,L$4&lt;=Tâches!$K45),1,"")</f>
        <v/>
      </c>
      <c r="M46" s="2" t="str">
        <f>IF(AND(ISNUMBER(Tâches!$J45),ISNUMBER(Tâches!$K45),M$4&gt;=Tâches!$J45,M$4&lt;=Tâches!$K45),1,"")</f>
        <v/>
      </c>
      <c r="N46" s="2" t="str">
        <f>IF(AND(ISNUMBER(Tâches!$J45),ISNUMBER(Tâches!$K45),N$4&gt;=Tâches!$J45,N$4&lt;=Tâches!$K45),1,"")</f>
        <v/>
      </c>
    </row>
    <row r="47" spans="1:14" ht="18" customHeight="1" x14ac:dyDescent="0.3">
      <c r="A47" s="2" t="str">
        <f>IF(Tâches!$C46="","",Tâches!$A46)</f>
        <v/>
      </c>
      <c r="B47" s="1" t="str">
        <f>IF(Tâches!$C46="","",Tâches!$C46)</f>
        <v/>
      </c>
      <c r="C47" s="2" t="str">
        <f>IF(Tâches!$C46="","",Tâches!$E46&amp;"")</f>
        <v/>
      </c>
      <c r="D47" s="2" t="str">
        <f>IF(Tâches!$C46="","",Tâches!$M46&amp;"")</f>
        <v/>
      </c>
      <c r="E47" s="2" t="str">
        <f>IF(AND(ISNUMBER(Tâches!$J46),ISNUMBER(Tâches!$K46),E$4&gt;=Tâches!$J46,E$4&lt;=Tâches!$K46),1,"")</f>
        <v/>
      </c>
      <c r="F47" s="2" t="str">
        <f>IF(AND(ISNUMBER(Tâches!$J46),ISNUMBER(Tâches!$K46),F$4&gt;=Tâches!$J46,F$4&lt;=Tâches!$K46),1,"")</f>
        <v/>
      </c>
      <c r="G47" s="2" t="str">
        <f>IF(AND(ISNUMBER(Tâches!$J46),ISNUMBER(Tâches!$K46),G$4&gt;=Tâches!$J46,G$4&lt;=Tâches!$K46),1,"")</f>
        <v/>
      </c>
      <c r="H47" s="2" t="str">
        <f>IF(AND(ISNUMBER(Tâches!$J46),ISNUMBER(Tâches!$K46),H$4&gt;=Tâches!$J46,H$4&lt;=Tâches!$K46),1,"")</f>
        <v/>
      </c>
      <c r="I47" s="2" t="str">
        <f>IF(AND(ISNUMBER(Tâches!$J46),ISNUMBER(Tâches!$K46),I$4&gt;=Tâches!$J46,I$4&lt;=Tâches!$K46),1,"")</f>
        <v/>
      </c>
      <c r="J47" s="2" t="str">
        <f>IF(AND(ISNUMBER(Tâches!$J46),ISNUMBER(Tâches!$K46),J$4&gt;=Tâches!$J46,J$4&lt;=Tâches!$K46),1,"")</f>
        <v/>
      </c>
      <c r="K47" s="2" t="str">
        <f>IF(AND(ISNUMBER(Tâches!$J46),ISNUMBER(Tâches!$K46),K$4&gt;=Tâches!$J46,K$4&lt;=Tâches!$K46),1,"")</f>
        <v/>
      </c>
      <c r="L47" s="2" t="str">
        <f>IF(AND(ISNUMBER(Tâches!$J46),ISNUMBER(Tâches!$K46),L$4&gt;=Tâches!$J46,L$4&lt;=Tâches!$K46),1,"")</f>
        <v/>
      </c>
      <c r="M47" s="2" t="str">
        <f>IF(AND(ISNUMBER(Tâches!$J46),ISNUMBER(Tâches!$K46),M$4&gt;=Tâches!$J46,M$4&lt;=Tâches!$K46),1,"")</f>
        <v/>
      </c>
      <c r="N47" s="2" t="str">
        <f>IF(AND(ISNUMBER(Tâches!$J46),ISNUMBER(Tâches!$K46),N$4&gt;=Tâches!$J46,N$4&lt;=Tâches!$K46),1,"")</f>
        <v/>
      </c>
    </row>
    <row r="48" spans="1:14" ht="18" customHeight="1" x14ac:dyDescent="0.3">
      <c r="A48" s="2" t="str">
        <f>IF(Tâches!$C47="","",Tâches!$A47)</f>
        <v/>
      </c>
      <c r="B48" s="1" t="str">
        <f>IF(Tâches!$C47="","",Tâches!$C47)</f>
        <v/>
      </c>
      <c r="C48" s="2" t="str">
        <f>IF(Tâches!$C47="","",Tâches!$E47&amp;"")</f>
        <v/>
      </c>
      <c r="D48" s="2" t="str">
        <f>IF(Tâches!$C47="","",Tâches!$M47&amp;"")</f>
        <v/>
      </c>
      <c r="E48" s="2" t="str">
        <f>IF(AND(ISNUMBER(Tâches!$J47),ISNUMBER(Tâches!$K47),E$4&gt;=Tâches!$J47,E$4&lt;=Tâches!$K47),1,"")</f>
        <v/>
      </c>
      <c r="F48" s="2" t="str">
        <f>IF(AND(ISNUMBER(Tâches!$J47),ISNUMBER(Tâches!$K47),F$4&gt;=Tâches!$J47,F$4&lt;=Tâches!$K47),1,"")</f>
        <v/>
      </c>
      <c r="G48" s="2" t="str">
        <f>IF(AND(ISNUMBER(Tâches!$J47),ISNUMBER(Tâches!$K47),G$4&gt;=Tâches!$J47,G$4&lt;=Tâches!$K47),1,"")</f>
        <v/>
      </c>
      <c r="H48" s="2" t="str">
        <f>IF(AND(ISNUMBER(Tâches!$J47),ISNUMBER(Tâches!$K47),H$4&gt;=Tâches!$J47,H$4&lt;=Tâches!$K47),1,"")</f>
        <v/>
      </c>
      <c r="I48" s="2" t="str">
        <f>IF(AND(ISNUMBER(Tâches!$J47),ISNUMBER(Tâches!$K47),I$4&gt;=Tâches!$J47,I$4&lt;=Tâches!$K47),1,"")</f>
        <v/>
      </c>
      <c r="J48" s="2" t="str">
        <f>IF(AND(ISNUMBER(Tâches!$J47),ISNUMBER(Tâches!$K47),J$4&gt;=Tâches!$J47,J$4&lt;=Tâches!$K47),1,"")</f>
        <v/>
      </c>
      <c r="K48" s="2" t="str">
        <f>IF(AND(ISNUMBER(Tâches!$J47),ISNUMBER(Tâches!$K47),K$4&gt;=Tâches!$J47,K$4&lt;=Tâches!$K47),1,"")</f>
        <v/>
      </c>
      <c r="L48" s="2" t="str">
        <f>IF(AND(ISNUMBER(Tâches!$J47),ISNUMBER(Tâches!$K47),L$4&gt;=Tâches!$J47,L$4&lt;=Tâches!$K47),1,"")</f>
        <v/>
      </c>
      <c r="M48" s="2" t="str">
        <f>IF(AND(ISNUMBER(Tâches!$J47),ISNUMBER(Tâches!$K47),M$4&gt;=Tâches!$J47,M$4&lt;=Tâches!$K47),1,"")</f>
        <v/>
      </c>
      <c r="N48" s="2" t="str">
        <f>IF(AND(ISNUMBER(Tâches!$J47),ISNUMBER(Tâches!$K47),N$4&gt;=Tâches!$J47,N$4&lt;=Tâches!$K47),1,"")</f>
        <v/>
      </c>
    </row>
    <row r="49" spans="1:14" ht="18" customHeight="1" x14ac:dyDescent="0.3">
      <c r="A49" s="2" t="str">
        <f>IF(Tâches!$C48="","",Tâches!$A48)</f>
        <v/>
      </c>
      <c r="B49" s="1" t="str">
        <f>IF(Tâches!$C48="","",Tâches!$C48)</f>
        <v/>
      </c>
      <c r="C49" s="2" t="str">
        <f>IF(Tâches!$C48="","",Tâches!$E48&amp;"")</f>
        <v/>
      </c>
      <c r="D49" s="2" t="str">
        <f>IF(Tâches!$C48="","",Tâches!$M48&amp;"")</f>
        <v/>
      </c>
      <c r="E49" s="2" t="str">
        <f>IF(AND(ISNUMBER(Tâches!$J48),ISNUMBER(Tâches!$K48),E$4&gt;=Tâches!$J48,E$4&lt;=Tâches!$K48),1,"")</f>
        <v/>
      </c>
      <c r="F49" s="2" t="str">
        <f>IF(AND(ISNUMBER(Tâches!$J48),ISNUMBER(Tâches!$K48),F$4&gt;=Tâches!$J48,F$4&lt;=Tâches!$K48),1,"")</f>
        <v/>
      </c>
      <c r="G49" s="2" t="str">
        <f>IF(AND(ISNUMBER(Tâches!$J48),ISNUMBER(Tâches!$K48),G$4&gt;=Tâches!$J48,G$4&lt;=Tâches!$K48),1,"")</f>
        <v/>
      </c>
      <c r="H49" s="2" t="str">
        <f>IF(AND(ISNUMBER(Tâches!$J48),ISNUMBER(Tâches!$K48),H$4&gt;=Tâches!$J48,H$4&lt;=Tâches!$K48),1,"")</f>
        <v/>
      </c>
      <c r="I49" s="2" t="str">
        <f>IF(AND(ISNUMBER(Tâches!$J48),ISNUMBER(Tâches!$K48),I$4&gt;=Tâches!$J48,I$4&lt;=Tâches!$K48),1,"")</f>
        <v/>
      </c>
      <c r="J49" s="2" t="str">
        <f>IF(AND(ISNUMBER(Tâches!$J48),ISNUMBER(Tâches!$K48),J$4&gt;=Tâches!$J48,J$4&lt;=Tâches!$K48),1,"")</f>
        <v/>
      </c>
      <c r="K49" s="2" t="str">
        <f>IF(AND(ISNUMBER(Tâches!$J48),ISNUMBER(Tâches!$K48),K$4&gt;=Tâches!$J48,K$4&lt;=Tâches!$K48),1,"")</f>
        <v/>
      </c>
      <c r="L49" s="2" t="str">
        <f>IF(AND(ISNUMBER(Tâches!$J48),ISNUMBER(Tâches!$K48),L$4&gt;=Tâches!$J48,L$4&lt;=Tâches!$K48),1,"")</f>
        <v/>
      </c>
      <c r="M49" s="2" t="str">
        <f>IF(AND(ISNUMBER(Tâches!$J48),ISNUMBER(Tâches!$K48),M$4&gt;=Tâches!$J48,M$4&lt;=Tâches!$K48),1,"")</f>
        <v/>
      </c>
      <c r="N49" s="2" t="str">
        <f>IF(AND(ISNUMBER(Tâches!$J48),ISNUMBER(Tâches!$K48),N$4&gt;=Tâches!$J48,N$4&lt;=Tâches!$K48),1,"")</f>
        <v/>
      </c>
    </row>
    <row r="50" spans="1:14" ht="18" customHeight="1" x14ac:dyDescent="0.3">
      <c r="A50" s="2" t="str">
        <f>IF(Tâches!$C49="","",Tâches!$A49)</f>
        <v/>
      </c>
      <c r="B50" s="1" t="str">
        <f>IF(Tâches!$C49="","",Tâches!$C49)</f>
        <v/>
      </c>
      <c r="C50" s="2" t="str">
        <f>IF(Tâches!$C49="","",Tâches!$E49&amp;"")</f>
        <v/>
      </c>
      <c r="D50" s="2" t="str">
        <f>IF(Tâches!$C49="","",Tâches!$M49&amp;"")</f>
        <v/>
      </c>
      <c r="E50" s="2" t="str">
        <f>IF(AND(ISNUMBER(Tâches!$J49),ISNUMBER(Tâches!$K49),E$4&gt;=Tâches!$J49,E$4&lt;=Tâches!$K49),1,"")</f>
        <v/>
      </c>
      <c r="F50" s="2" t="str">
        <f>IF(AND(ISNUMBER(Tâches!$J49),ISNUMBER(Tâches!$K49),F$4&gt;=Tâches!$J49,F$4&lt;=Tâches!$K49),1,"")</f>
        <v/>
      </c>
      <c r="G50" s="2" t="str">
        <f>IF(AND(ISNUMBER(Tâches!$J49),ISNUMBER(Tâches!$K49),G$4&gt;=Tâches!$J49,G$4&lt;=Tâches!$K49),1,"")</f>
        <v/>
      </c>
      <c r="H50" s="2" t="str">
        <f>IF(AND(ISNUMBER(Tâches!$J49),ISNUMBER(Tâches!$K49),H$4&gt;=Tâches!$J49,H$4&lt;=Tâches!$K49),1,"")</f>
        <v/>
      </c>
      <c r="I50" s="2" t="str">
        <f>IF(AND(ISNUMBER(Tâches!$J49),ISNUMBER(Tâches!$K49),I$4&gt;=Tâches!$J49,I$4&lt;=Tâches!$K49),1,"")</f>
        <v/>
      </c>
      <c r="J50" s="2" t="str">
        <f>IF(AND(ISNUMBER(Tâches!$J49),ISNUMBER(Tâches!$K49),J$4&gt;=Tâches!$J49,J$4&lt;=Tâches!$K49),1,"")</f>
        <v/>
      </c>
      <c r="K50" s="2" t="str">
        <f>IF(AND(ISNUMBER(Tâches!$J49),ISNUMBER(Tâches!$K49),K$4&gt;=Tâches!$J49,K$4&lt;=Tâches!$K49),1,"")</f>
        <v/>
      </c>
      <c r="L50" s="2" t="str">
        <f>IF(AND(ISNUMBER(Tâches!$J49),ISNUMBER(Tâches!$K49),L$4&gt;=Tâches!$J49,L$4&lt;=Tâches!$K49),1,"")</f>
        <v/>
      </c>
      <c r="M50" s="2" t="str">
        <f>IF(AND(ISNUMBER(Tâches!$J49),ISNUMBER(Tâches!$K49),M$4&gt;=Tâches!$J49,M$4&lt;=Tâches!$K49),1,"")</f>
        <v/>
      </c>
      <c r="N50" s="2" t="str">
        <f>IF(AND(ISNUMBER(Tâches!$J49),ISNUMBER(Tâches!$K49),N$4&gt;=Tâches!$J49,N$4&lt;=Tâches!$K49),1,"")</f>
        <v/>
      </c>
    </row>
    <row r="51" spans="1:14" ht="18" customHeight="1" x14ac:dyDescent="0.3">
      <c r="A51" s="2" t="str">
        <f>IF(Tâches!$C50="","",Tâches!$A50)</f>
        <v/>
      </c>
      <c r="B51" s="1" t="str">
        <f>IF(Tâches!$C50="","",Tâches!$C50)</f>
        <v/>
      </c>
      <c r="C51" s="2" t="str">
        <f>IF(Tâches!$C50="","",Tâches!$E50&amp;"")</f>
        <v/>
      </c>
      <c r="D51" s="2" t="str">
        <f>IF(Tâches!$C50="","",Tâches!$M50&amp;"")</f>
        <v/>
      </c>
      <c r="E51" s="2" t="str">
        <f>IF(AND(ISNUMBER(Tâches!$J50),ISNUMBER(Tâches!$K50),E$4&gt;=Tâches!$J50,E$4&lt;=Tâches!$K50),1,"")</f>
        <v/>
      </c>
      <c r="F51" s="2" t="str">
        <f>IF(AND(ISNUMBER(Tâches!$J50),ISNUMBER(Tâches!$K50),F$4&gt;=Tâches!$J50,F$4&lt;=Tâches!$K50),1,"")</f>
        <v/>
      </c>
      <c r="G51" s="2" t="str">
        <f>IF(AND(ISNUMBER(Tâches!$J50),ISNUMBER(Tâches!$K50),G$4&gt;=Tâches!$J50,G$4&lt;=Tâches!$K50),1,"")</f>
        <v/>
      </c>
      <c r="H51" s="2" t="str">
        <f>IF(AND(ISNUMBER(Tâches!$J50),ISNUMBER(Tâches!$K50),H$4&gt;=Tâches!$J50,H$4&lt;=Tâches!$K50),1,"")</f>
        <v/>
      </c>
      <c r="I51" s="2" t="str">
        <f>IF(AND(ISNUMBER(Tâches!$J50),ISNUMBER(Tâches!$K50),I$4&gt;=Tâches!$J50,I$4&lt;=Tâches!$K50),1,"")</f>
        <v/>
      </c>
      <c r="J51" s="2" t="str">
        <f>IF(AND(ISNUMBER(Tâches!$J50),ISNUMBER(Tâches!$K50),J$4&gt;=Tâches!$J50,J$4&lt;=Tâches!$K50),1,"")</f>
        <v/>
      </c>
      <c r="K51" s="2" t="str">
        <f>IF(AND(ISNUMBER(Tâches!$J50),ISNUMBER(Tâches!$K50),K$4&gt;=Tâches!$J50,K$4&lt;=Tâches!$K50),1,"")</f>
        <v/>
      </c>
      <c r="L51" s="2" t="str">
        <f>IF(AND(ISNUMBER(Tâches!$J50),ISNUMBER(Tâches!$K50),L$4&gt;=Tâches!$J50,L$4&lt;=Tâches!$K50),1,"")</f>
        <v/>
      </c>
      <c r="M51" s="2" t="str">
        <f>IF(AND(ISNUMBER(Tâches!$J50),ISNUMBER(Tâches!$K50),M$4&gt;=Tâches!$J50,M$4&lt;=Tâches!$K50),1,"")</f>
        <v/>
      </c>
      <c r="N51" s="2" t="str">
        <f>IF(AND(ISNUMBER(Tâches!$J50),ISNUMBER(Tâches!$K50),N$4&gt;=Tâches!$J50,N$4&lt;=Tâches!$K50),1,"")</f>
        <v/>
      </c>
    </row>
    <row r="52" spans="1:14" ht="18" customHeight="1" x14ac:dyDescent="0.3">
      <c r="A52" s="2" t="str">
        <f>IF(Tâches!$C51="","",Tâches!$A51)</f>
        <v/>
      </c>
      <c r="B52" s="1" t="str">
        <f>IF(Tâches!$C51="","",Tâches!$C51)</f>
        <v/>
      </c>
      <c r="C52" s="2" t="str">
        <f>IF(Tâches!$C51="","",Tâches!$E51&amp;"")</f>
        <v/>
      </c>
      <c r="D52" s="2" t="str">
        <f>IF(Tâches!$C51="","",Tâches!$M51&amp;"")</f>
        <v/>
      </c>
      <c r="E52" s="2" t="str">
        <f>IF(AND(ISNUMBER(Tâches!$J51),ISNUMBER(Tâches!$K51),E$4&gt;=Tâches!$J51,E$4&lt;=Tâches!$K51),1,"")</f>
        <v/>
      </c>
      <c r="F52" s="2" t="str">
        <f>IF(AND(ISNUMBER(Tâches!$J51),ISNUMBER(Tâches!$K51),F$4&gt;=Tâches!$J51,F$4&lt;=Tâches!$K51),1,"")</f>
        <v/>
      </c>
      <c r="G52" s="2" t="str">
        <f>IF(AND(ISNUMBER(Tâches!$J51),ISNUMBER(Tâches!$K51),G$4&gt;=Tâches!$J51,G$4&lt;=Tâches!$K51),1,"")</f>
        <v/>
      </c>
      <c r="H52" s="2" t="str">
        <f>IF(AND(ISNUMBER(Tâches!$J51),ISNUMBER(Tâches!$K51),H$4&gt;=Tâches!$J51,H$4&lt;=Tâches!$K51),1,"")</f>
        <v/>
      </c>
      <c r="I52" s="2" t="str">
        <f>IF(AND(ISNUMBER(Tâches!$J51),ISNUMBER(Tâches!$K51),I$4&gt;=Tâches!$J51,I$4&lt;=Tâches!$K51),1,"")</f>
        <v/>
      </c>
      <c r="J52" s="2" t="str">
        <f>IF(AND(ISNUMBER(Tâches!$J51),ISNUMBER(Tâches!$K51),J$4&gt;=Tâches!$J51,J$4&lt;=Tâches!$K51),1,"")</f>
        <v/>
      </c>
      <c r="K52" s="2" t="str">
        <f>IF(AND(ISNUMBER(Tâches!$J51),ISNUMBER(Tâches!$K51),K$4&gt;=Tâches!$J51,K$4&lt;=Tâches!$K51),1,"")</f>
        <v/>
      </c>
      <c r="L52" s="2" t="str">
        <f>IF(AND(ISNUMBER(Tâches!$J51),ISNUMBER(Tâches!$K51),L$4&gt;=Tâches!$J51,L$4&lt;=Tâches!$K51),1,"")</f>
        <v/>
      </c>
      <c r="M52" s="2" t="str">
        <f>IF(AND(ISNUMBER(Tâches!$J51),ISNUMBER(Tâches!$K51),M$4&gt;=Tâches!$J51,M$4&lt;=Tâches!$K51),1,"")</f>
        <v/>
      </c>
      <c r="N52" s="2" t="str">
        <f>IF(AND(ISNUMBER(Tâches!$J51),ISNUMBER(Tâches!$K51),N$4&gt;=Tâches!$J51,N$4&lt;=Tâches!$K51),1,"")</f>
        <v/>
      </c>
    </row>
    <row r="53" spans="1:14" ht="18" customHeight="1" x14ac:dyDescent="0.3">
      <c r="A53" s="2" t="str">
        <f>IF(Tâches!$C52="","",Tâches!$A52)</f>
        <v/>
      </c>
      <c r="B53" s="1" t="str">
        <f>IF(Tâches!$C52="","",Tâches!$C52)</f>
        <v/>
      </c>
      <c r="C53" s="2" t="str">
        <f>IF(Tâches!$C52="","",Tâches!$E52&amp;"")</f>
        <v/>
      </c>
      <c r="D53" s="2" t="str">
        <f>IF(Tâches!$C52="","",Tâches!$M52&amp;"")</f>
        <v/>
      </c>
      <c r="E53" s="2" t="str">
        <f>IF(AND(ISNUMBER(Tâches!$J52),ISNUMBER(Tâches!$K52),E$4&gt;=Tâches!$J52,E$4&lt;=Tâches!$K52),1,"")</f>
        <v/>
      </c>
      <c r="F53" s="2" t="str">
        <f>IF(AND(ISNUMBER(Tâches!$J52),ISNUMBER(Tâches!$K52),F$4&gt;=Tâches!$J52,F$4&lt;=Tâches!$K52),1,"")</f>
        <v/>
      </c>
      <c r="G53" s="2" t="str">
        <f>IF(AND(ISNUMBER(Tâches!$J52),ISNUMBER(Tâches!$K52),G$4&gt;=Tâches!$J52,G$4&lt;=Tâches!$K52),1,"")</f>
        <v/>
      </c>
      <c r="H53" s="2" t="str">
        <f>IF(AND(ISNUMBER(Tâches!$J52),ISNUMBER(Tâches!$K52),H$4&gt;=Tâches!$J52,H$4&lt;=Tâches!$K52),1,"")</f>
        <v/>
      </c>
      <c r="I53" s="2" t="str">
        <f>IF(AND(ISNUMBER(Tâches!$J52),ISNUMBER(Tâches!$K52),I$4&gt;=Tâches!$J52,I$4&lt;=Tâches!$K52),1,"")</f>
        <v/>
      </c>
      <c r="J53" s="2" t="str">
        <f>IF(AND(ISNUMBER(Tâches!$J52),ISNUMBER(Tâches!$K52),J$4&gt;=Tâches!$J52,J$4&lt;=Tâches!$K52),1,"")</f>
        <v/>
      </c>
      <c r="K53" s="2" t="str">
        <f>IF(AND(ISNUMBER(Tâches!$J52),ISNUMBER(Tâches!$K52),K$4&gt;=Tâches!$J52,K$4&lt;=Tâches!$K52),1,"")</f>
        <v/>
      </c>
      <c r="L53" s="2" t="str">
        <f>IF(AND(ISNUMBER(Tâches!$J52),ISNUMBER(Tâches!$K52),L$4&gt;=Tâches!$J52,L$4&lt;=Tâches!$K52),1,"")</f>
        <v/>
      </c>
      <c r="M53" s="2" t="str">
        <f>IF(AND(ISNUMBER(Tâches!$J52),ISNUMBER(Tâches!$K52),M$4&gt;=Tâches!$J52,M$4&lt;=Tâches!$K52),1,"")</f>
        <v/>
      </c>
      <c r="N53" s="2" t="str">
        <f>IF(AND(ISNUMBER(Tâches!$J52),ISNUMBER(Tâches!$K52),N$4&gt;=Tâches!$J52,N$4&lt;=Tâches!$K52),1,"")</f>
        <v/>
      </c>
    </row>
    <row r="54" spans="1:14" ht="18" customHeight="1" x14ac:dyDescent="0.3">
      <c r="A54" s="2" t="str">
        <f>IF(Tâches!$C53="","",Tâches!$A53)</f>
        <v/>
      </c>
      <c r="B54" s="1" t="str">
        <f>IF(Tâches!$C53="","",Tâches!$C53)</f>
        <v/>
      </c>
      <c r="C54" s="2" t="str">
        <f>IF(Tâches!$C53="","",Tâches!$E53&amp;"")</f>
        <v/>
      </c>
      <c r="D54" s="2" t="str">
        <f>IF(Tâches!$C53="","",Tâches!$M53&amp;"")</f>
        <v/>
      </c>
      <c r="E54" s="2" t="str">
        <f>IF(AND(ISNUMBER(Tâches!$J53),ISNUMBER(Tâches!$K53),E$4&gt;=Tâches!$J53,E$4&lt;=Tâches!$K53),1,"")</f>
        <v/>
      </c>
      <c r="F54" s="2" t="str">
        <f>IF(AND(ISNUMBER(Tâches!$J53),ISNUMBER(Tâches!$K53),F$4&gt;=Tâches!$J53,F$4&lt;=Tâches!$K53),1,"")</f>
        <v/>
      </c>
      <c r="G54" s="2" t="str">
        <f>IF(AND(ISNUMBER(Tâches!$J53),ISNUMBER(Tâches!$K53),G$4&gt;=Tâches!$J53,G$4&lt;=Tâches!$K53),1,"")</f>
        <v/>
      </c>
      <c r="H54" s="2" t="str">
        <f>IF(AND(ISNUMBER(Tâches!$J53),ISNUMBER(Tâches!$K53),H$4&gt;=Tâches!$J53,H$4&lt;=Tâches!$K53),1,"")</f>
        <v/>
      </c>
      <c r="I54" s="2" t="str">
        <f>IF(AND(ISNUMBER(Tâches!$J53),ISNUMBER(Tâches!$K53),I$4&gt;=Tâches!$J53,I$4&lt;=Tâches!$K53),1,"")</f>
        <v/>
      </c>
      <c r="J54" s="2" t="str">
        <f>IF(AND(ISNUMBER(Tâches!$J53),ISNUMBER(Tâches!$K53),J$4&gt;=Tâches!$J53,J$4&lt;=Tâches!$K53),1,"")</f>
        <v/>
      </c>
      <c r="K54" s="2" t="str">
        <f>IF(AND(ISNUMBER(Tâches!$J53),ISNUMBER(Tâches!$K53),K$4&gt;=Tâches!$J53,K$4&lt;=Tâches!$K53),1,"")</f>
        <v/>
      </c>
      <c r="L54" s="2" t="str">
        <f>IF(AND(ISNUMBER(Tâches!$J53),ISNUMBER(Tâches!$K53),L$4&gt;=Tâches!$J53,L$4&lt;=Tâches!$K53),1,"")</f>
        <v/>
      </c>
      <c r="M54" s="2" t="str">
        <f>IF(AND(ISNUMBER(Tâches!$J53),ISNUMBER(Tâches!$K53),M$4&gt;=Tâches!$J53,M$4&lt;=Tâches!$K53),1,"")</f>
        <v/>
      </c>
      <c r="N54" s="2" t="str">
        <f>IF(AND(ISNUMBER(Tâches!$J53),ISNUMBER(Tâches!$K53),N$4&gt;=Tâches!$J53,N$4&lt;=Tâches!$K53),1,"")</f>
        <v/>
      </c>
    </row>
    <row r="55" spans="1:14" ht="18" customHeight="1" x14ac:dyDescent="0.3">
      <c r="A55" s="2" t="str">
        <f>IF(Tâches!$C54="","",Tâches!$A54)</f>
        <v/>
      </c>
      <c r="B55" s="1" t="str">
        <f>IF(Tâches!$C54="","",Tâches!$C54)</f>
        <v/>
      </c>
      <c r="C55" s="2" t="str">
        <f>IF(Tâches!$C54="","",Tâches!$E54&amp;"")</f>
        <v/>
      </c>
      <c r="D55" s="2" t="str">
        <f>IF(Tâches!$C54="","",Tâches!$M54&amp;"")</f>
        <v/>
      </c>
      <c r="E55" s="2" t="str">
        <f>IF(AND(ISNUMBER(Tâches!$J54),ISNUMBER(Tâches!$K54),E$4&gt;=Tâches!$J54,E$4&lt;=Tâches!$K54),1,"")</f>
        <v/>
      </c>
      <c r="F55" s="2" t="str">
        <f>IF(AND(ISNUMBER(Tâches!$J54),ISNUMBER(Tâches!$K54),F$4&gt;=Tâches!$J54,F$4&lt;=Tâches!$K54),1,"")</f>
        <v/>
      </c>
      <c r="G55" s="2" t="str">
        <f>IF(AND(ISNUMBER(Tâches!$J54),ISNUMBER(Tâches!$K54),G$4&gt;=Tâches!$J54,G$4&lt;=Tâches!$K54),1,"")</f>
        <v/>
      </c>
      <c r="H55" s="2" t="str">
        <f>IF(AND(ISNUMBER(Tâches!$J54),ISNUMBER(Tâches!$K54),H$4&gt;=Tâches!$J54,H$4&lt;=Tâches!$K54),1,"")</f>
        <v/>
      </c>
      <c r="I55" s="2" t="str">
        <f>IF(AND(ISNUMBER(Tâches!$J54),ISNUMBER(Tâches!$K54),I$4&gt;=Tâches!$J54,I$4&lt;=Tâches!$K54),1,"")</f>
        <v/>
      </c>
      <c r="J55" s="2" t="str">
        <f>IF(AND(ISNUMBER(Tâches!$J54),ISNUMBER(Tâches!$K54),J$4&gt;=Tâches!$J54,J$4&lt;=Tâches!$K54),1,"")</f>
        <v/>
      </c>
      <c r="K55" s="2" t="str">
        <f>IF(AND(ISNUMBER(Tâches!$J54),ISNUMBER(Tâches!$K54),K$4&gt;=Tâches!$J54,K$4&lt;=Tâches!$K54),1,"")</f>
        <v/>
      </c>
      <c r="L55" s="2" t="str">
        <f>IF(AND(ISNUMBER(Tâches!$J54),ISNUMBER(Tâches!$K54),L$4&gt;=Tâches!$J54,L$4&lt;=Tâches!$K54),1,"")</f>
        <v/>
      </c>
      <c r="M55" s="2" t="str">
        <f>IF(AND(ISNUMBER(Tâches!$J54),ISNUMBER(Tâches!$K54),M$4&gt;=Tâches!$J54,M$4&lt;=Tâches!$K54),1,"")</f>
        <v/>
      </c>
      <c r="N55" s="2" t="str">
        <f>IF(AND(ISNUMBER(Tâches!$J54),ISNUMBER(Tâches!$K54),N$4&gt;=Tâches!$J54,N$4&lt;=Tâches!$K54),1,"")</f>
        <v/>
      </c>
    </row>
    <row r="56" spans="1:14" ht="18" customHeight="1" x14ac:dyDescent="0.3">
      <c r="A56" s="2" t="str">
        <f>IF(Tâches!$C55="","",Tâches!$A55)</f>
        <v/>
      </c>
      <c r="B56" s="1" t="str">
        <f>IF(Tâches!$C55="","",Tâches!$C55)</f>
        <v/>
      </c>
      <c r="C56" s="2" t="str">
        <f>IF(Tâches!$C55="","",Tâches!$E55&amp;"")</f>
        <v/>
      </c>
      <c r="D56" s="2" t="str">
        <f>IF(Tâches!$C55="","",Tâches!$M55&amp;"")</f>
        <v/>
      </c>
      <c r="E56" s="2" t="str">
        <f>IF(AND(ISNUMBER(Tâches!$J55),ISNUMBER(Tâches!$K55),E$4&gt;=Tâches!$J55,E$4&lt;=Tâches!$K55),1,"")</f>
        <v/>
      </c>
      <c r="F56" s="2" t="str">
        <f>IF(AND(ISNUMBER(Tâches!$J55),ISNUMBER(Tâches!$K55),F$4&gt;=Tâches!$J55,F$4&lt;=Tâches!$K55),1,"")</f>
        <v/>
      </c>
      <c r="G56" s="2" t="str">
        <f>IF(AND(ISNUMBER(Tâches!$J55),ISNUMBER(Tâches!$K55),G$4&gt;=Tâches!$J55,G$4&lt;=Tâches!$K55),1,"")</f>
        <v/>
      </c>
      <c r="H56" s="2" t="str">
        <f>IF(AND(ISNUMBER(Tâches!$J55),ISNUMBER(Tâches!$K55),H$4&gt;=Tâches!$J55,H$4&lt;=Tâches!$K55),1,"")</f>
        <v/>
      </c>
      <c r="I56" s="2" t="str">
        <f>IF(AND(ISNUMBER(Tâches!$J55),ISNUMBER(Tâches!$K55),I$4&gt;=Tâches!$J55,I$4&lt;=Tâches!$K55),1,"")</f>
        <v/>
      </c>
      <c r="J56" s="2" t="str">
        <f>IF(AND(ISNUMBER(Tâches!$J55),ISNUMBER(Tâches!$K55),J$4&gt;=Tâches!$J55,J$4&lt;=Tâches!$K55),1,"")</f>
        <v/>
      </c>
      <c r="K56" s="2" t="str">
        <f>IF(AND(ISNUMBER(Tâches!$J55),ISNUMBER(Tâches!$K55),K$4&gt;=Tâches!$J55,K$4&lt;=Tâches!$K55),1,"")</f>
        <v/>
      </c>
      <c r="L56" s="2" t="str">
        <f>IF(AND(ISNUMBER(Tâches!$J55),ISNUMBER(Tâches!$K55),L$4&gt;=Tâches!$J55,L$4&lt;=Tâches!$K55),1,"")</f>
        <v/>
      </c>
      <c r="M56" s="2" t="str">
        <f>IF(AND(ISNUMBER(Tâches!$J55),ISNUMBER(Tâches!$K55),M$4&gt;=Tâches!$J55,M$4&lt;=Tâches!$K55),1,"")</f>
        <v/>
      </c>
      <c r="N56" s="2" t="str">
        <f>IF(AND(ISNUMBER(Tâches!$J55),ISNUMBER(Tâches!$K55),N$4&gt;=Tâches!$J55,N$4&lt;=Tâches!$K55),1,"")</f>
        <v/>
      </c>
    </row>
    <row r="57" spans="1:14" ht="18" customHeight="1" x14ac:dyDescent="0.3">
      <c r="A57" s="2" t="str">
        <f>IF(Tâches!$C56="","",Tâches!$A56)</f>
        <v/>
      </c>
      <c r="B57" s="1" t="str">
        <f>IF(Tâches!$C56="","",Tâches!$C56)</f>
        <v/>
      </c>
      <c r="C57" s="2" t="str">
        <f>IF(Tâches!$C56="","",Tâches!$E56&amp;"")</f>
        <v/>
      </c>
      <c r="D57" s="2" t="str">
        <f>IF(Tâches!$C56="","",Tâches!$M56&amp;"")</f>
        <v/>
      </c>
      <c r="E57" s="2" t="str">
        <f>IF(AND(ISNUMBER(Tâches!$J56),ISNUMBER(Tâches!$K56),E$4&gt;=Tâches!$J56,E$4&lt;=Tâches!$K56),1,"")</f>
        <v/>
      </c>
      <c r="F57" s="2" t="str">
        <f>IF(AND(ISNUMBER(Tâches!$J56),ISNUMBER(Tâches!$K56),F$4&gt;=Tâches!$J56,F$4&lt;=Tâches!$K56),1,"")</f>
        <v/>
      </c>
      <c r="G57" s="2" t="str">
        <f>IF(AND(ISNUMBER(Tâches!$J56),ISNUMBER(Tâches!$K56),G$4&gt;=Tâches!$J56,G$4&lt;=Tâches!$K56),1,"")</f>
        <v/>
      </c>
      <c r="H57" s="2" t="str">
        <f>IF(AND(ISNUMBER(Tâches!$J56),ISNUMBER(Tâches!$K56),H$4&gt;=Tâches!$J56,H$4&lt;=Tâches!$K56),1,"")</f>
        <v/>
      </c>
      <c r="I57" s="2" t="str">
        <f>IF(AND(ISNUMBER(Tâches!$J56),ISNUMBER(Tâches!$K56),I$4&gt;=Tâches!$J56,I$4&lt;=Tâches!$K56),1,"")</f>
        <v/>
      </c>
      <c r="J57" s="2" t="str">
        <f>IF(AND(ISNUMBER(Tâches!$J56),ISNUMBER(Tâches!$K56),J$4&gt;=Tâches!$J56,J$4&lt;=Tâches!$K56),1,"")</f>
        <v/>
      </c>
      <c r="K57" s="2" t="str">
        <f>IF(AND(ISNUMBER(Tâches!$J56),ISNUMBER(Tâches!$K56),K$4&gt;=Tâches!$J56,K$4&lt;=Tâches!$K56),1,"")</f>
        <v/>
      </c>
      <c r="L57" s="2" t="str">
        <f>IF(AND(ISNUMBER(Tâches!$J56),ISNUMBER(Tâches!$K56),L$4&gt;=Tâches!$J56,L$4&lt;=Tâches!$K56),1,"")</f>
        <v/>
      </c>
      <c r="M57" s="2" t="str">
        <f>IF(AND(ISNUMBER(Tâches!$J56),ISNUMBER(Tâches!$K56),M$4&gt;=Tâches!$J56,M$4&lt;=Tâches!$K56),1,"")</f>
        <v/>
      </c>
      <c r="N57" s="2" t="str">
        <f>IF(AND(ISNUMBER(Tâches!$J56),ISNUMBER(Tâches!$K56),N$4&gt;=Tâches!$J56,N$4&lt;=Tâches!$K56),1,"")</f>
        <v/>
      </c>
    </row>
    <row r="58" spans="1:14" ht="18" customHeight="1" x14ac:dyDescent="0.3">
      <c r="A58" s="2" t="str">
        <f>IF(Tâches!$C57="","",Tâches!$A57)</f>
        <v/>
      </c>
      <c r="B58" s="1" t="str">
        <f>IF(Tâches!$C57="","",Tâches!$C57)</f>
        <v/>
      </c>
      <c r="C58" s="2" t="str">
        <f>IF(Tâches!$C57="","",Tâches!$E57&amp;"")</f>
        <v/>
      </c>
      <c r="D58" s="2" t="str">
        <f>IF(Tâches!$C57="","",Tâches!$M57&amp;"")</f>
        <v/>
      </c>
      <c r="E58" s="2" t="str">
        <f>IF(AND(ISNUMBER(Tâches!$J57),ISNUMBER(Tâches!$K57),E$4&gt;=Tâches!$J57,E$4&lt;=Tâches!$K57),1,"")</f>
        <v/>
      </c>
      <c r="F58" s="2" t="str">
        <f>IF(AND(ISNUMBER(Tâches!$J57),ISNUMBER(Tâches!$K57),F$4&gt;=Tâches!$J57,F$4&lt;=Tâches!$K57),1,"")</f>
        <v/>
      </c>
      <c r="G58" s="2" t="str">
        <f>IF(AND(ISNUMBER(Tâches!$J57),ISNUMBER(Tâches!$K57),G$4&gt;=Tâches!$J57,G$4&lt;=Tâches!$K57),1,"")</f>
        <v/>
      </c>
      <c r="H58" s="2" t="str">
        <f>IF(AND(ISNUMBER(Tâches!$J57),ISNUMBER(Tâches!$K57),H$4&gt;=Tâches!$J57,H$4&lt;=Tâches!$K57),1,"")</f>
        <v/>
      </c>
      <c r="I58" s="2" t="str">
        <f>IF(AND(ISNUMBER(Tâches!$J57),ISNUMBER(Tâches!$K57),I$4&gt;=Tâches!$J57,I$4&lt;=Tâches!$K57),1,"")</f>
        <v/>
      </c>
      <c r="J58" s="2" t="str">
        <f>IF(AND(ISNUMBER(Tâches!$J57),ISNUMBER(Tâches!$K57),J$4&gt;=Tâches!$J57,J$4&lt;=Tâches!$K57),1,"")</f>
        <v/>
      </c>
      <c r="K58" s="2" t="str">
        <f>IF(AND(ISNUMBER(Tâches!$J57),ISNUMBER(Tâches!$K57),K$4&gt;=Tâches!$J57,K$4&lt;=Tâches!$K57),1,"")</f>
        <v/>
      </c>
      <c r="L58" s="2" t="str">
        <f>IF(AND(ISNUMBER(Tâches!$J57),ISNUMBER(Tâches!$K57),L$4&gt;=Tâches!$J57,L$4&lt;=Tâches!$K57),1,"")</f>
        <v/>
      </c>
      <c r="M58" s="2" t="str">
        <f>IF(AND(ISNUMBER(Tâches!$J57),ISNUMBER(Tâches!$K57),M$4&gt;=Tâches!$J57,M$4&lt;=Tâches!$K57),1,"")</f>
        <v/>
      </c>
      <c r="N58" s="2" t="str">
        <f>IF(AND(ISNUMBER(Tâches!$J57),ISNUMBER(Tâches!$K57),N$4&gt;=Tâches!$J57,N$4&lt;=Tâches!$K57),1,"")</f>
        <v/>
      </c>
    </row>
    <row r="59" spans="1:14" ht="18" customHeight="1" x14ac:dyDescent="0.3">
      <c r="A59" s="2" t="str">
        <f>IF(Tâches!$C58="","",Tâches!$A58)</f>
        <v/>
      </c>
      <c r="B59" s="1" t="str">
        <f>IF(Tâches!$C58="","",Tâches!$C58)</f>
        <v/>
      </c>
      <c r="C59" s="2" t="str">
        <f>IF(Tâches!$C58="","",Tâches!$E58&amp;"")</f>
        <v/>
      </c>
      <c r="D59" s="2" t="str">
        <f>IF(Tâches!$C58="","",Tâches!$M58&amp;"")</f>
        <v/>
      </c>
      <c r="E59" s="2" t="str">
        <f>IF(AND(ISNUMBER(Tâches!$J58),ISNUMBER(Tâches!$K58),E$4&gt;=Tâches!$J58,E$4&lt;=Tâches!$K58),1,"")</f>
        <v/>
      </c>
      <c r="F59" s="2" t="str">
        <f>IF(AND(ISNUMBER(Tâches!$J58),ISNUMBER(Tâches!$K58),F$4&gt;=Tâches!$J58,F$4&lt;=Tâches!$K58),1,"")</f>
        <v/>
      </c>
      <c r="G59" s="2" t="str">
        <f>IF(AND(ISNUMBER(Tâches!$J58),ISNUMBER(Tâches!$K58),G$4&gt;=Tâches!$J58,G$4&lt;=Tâches!$K58),1,"")</f>
        <v/>
      </c>
      <c r="H59" s="2" t="str">
        <f>IF(AND(ISNUMBER(Tâches!$J58),ISNUMBER(Tâches!$K58),H$4&gt;=Tâches!$J58,H$4&lt;=Tâches!$K58),1,"")</f>
        <v/>
      </c>
      <c r="I59" s="2" t="str">
        <f>IF(AND(ISNUMBER(Tâches!$J58),ISNUMBER(Tâches!$K58),I$4&gt;=Tâches!$J58,I$4&lt;=Tâches!$K58),1,"")</f>
        <v/>
      </c>
      <c r="J59" s="2" t="str">
        <f>IF(AND(ISNUMBER(Tâches!$J58),ISNUMBER(Tâches!$K58),J$4&gt;=Tâches!$J58,J$4&lt;=Tâches!$K58),1,"")</f>
        <v/>
      </c>
      <c r="K59" s="2" t="str">
        <f>IF(AND(ISNUMBER(Tâches!$J58),ISNUMBER(Tâches!$K58),K$4&gt;=Tâches!$J58,K$4&lt;=Tâches!$K58),1,"")</f>
        <v/>
      </c>
      <c r="L59" s="2" t="str">
        <f>IF(AND(ISNUMBER(Tâches!$J58),ISNUMBER(Tâches!$K58),L$4&gt;=Tâches!$J58,L$4&lt;=Tâches!$K58),1,"")</f>
        <v/>
      </c>
      <c r="M59" s="2" t="str">
        <f>IF(AND(ISNUMBER(Tâches!$J58),ISNUMBER(Tâches!$K58),M$4&gt;=Tâches!$J58,M$4&lt;=Tâches!$K58),1,"")</f>
        <v/>
      </c>
      <c r="N59" s="2" t="str">
        <f>IF(AND(ISNUMBER(Tâches!$J58),ISNUMBER(Tâches!$K58),N$4&gt;=Tâches!$J58,N$4&lt;=Tâches!$K58),1,"")</f>
        <v/>
      </c>
    </row>
    <row r="60" spans="1:14" ht="18" customHeight="1" x14ac:dyDescent="0.3">
      <c r="A60" s="2" t="str">
        <f>IF(Tâches!$C59="","",Tâches!$A59)</f>
        <v/>
      </c>
      <c r="B60" s="1" t="str">
        <f>IF(Tâches!$C59="","",Tâches!$C59)</f>
        <v/>
      </c>
      <c r="C60" s="2" t="str">
        <f>IF(Tâches!$C59="","",Tâches!$E59&amp;"")</f>
        <v/>
      </c>
      <c r="D60" s="2" t="str">
        <f>IF(Tâches!$C59="","",Tâches!$M59&amp;"")</f>
        <v/>
      </c>
      <c r="E60" s="2" t="str">
        <f>IF(AND(ISNUMBER(Tâches!$J59),ISNUMBER(Tâches!$K59),E$4&gt;=Tâches!$J59,E$4&lt;=Tâches!$K59),1,"")</f>
        <v/>
      </c>
      <c r="F60" s="2" t="str">
        <f>IF(AND(ISNUMBER(Tâches!$J59),ISNUMBER(Tâches!$K59),F$4&gt;=Tâches!$J59,F$4&lt;=Tâches!$K59),1,"")</f>
        <v/>
      </c>
      <c r="G60" s="2" t="str">
        <f>IF(AND(ISNUMBER(Tâches!$J59),ISNUMBER(Tâches!$K59),G$4&gt;=Tâches!$J59,G$4&lt;=Tâches!$K59),1,"")</f>
        <v/>
      </c>
      <c r="H60" s="2" t="str">
        <f>IF(AND(ISNUMBER(Tâches!$J59),ISNUMBER(Tâches!$K59),H$4&gt;=Tâches!$J59,H$4&lt;=Tâches!$K59),1,"")</f>
        <v/>
      </c>
      <c r="I60" s="2" t="str">
        <f>IF(AND(ISNUMBER(Tâches!$J59),ISNUMBER(Tâches!$K59),I$4&gt;=Tâches!$J59,I$4&lt;=Tâches!$K59),1,"")</f>
        <v/>
      </c>
      <c r="J60" s="2" t="str">
        <f>IF(AND(ISNUMBER(Tâches!$J59),ISNUMBER(Tâches!$K59),J$4&gt;=Tâches!$J59,J$4&lt;=Tâches!$K59),1,"")</f>
        <v/>
      </c>
      <c r="K60" s="2" t="str">
        <f>IF(AND(ISNUMBER(Tâches!$J59),ISNUMBER(Tâches!$K59),K$4&gt;=Tâches!$J59,K$4&lt;=Tâches!$K59),1,"")</f>
        <v/>
      </c>
      <c r="L60" s="2" t="str">
        <f>IF(AND(ISNUMBER(Tâches!$J59),ISNUMBER(Tâches!$K59),L$4&gt;=Tâches!$J59,L$4&lt;=Tâches!$K59),1,"")</f>
        <v/>
      </c>
      <c r="M60" s="2" t="str">
        <f>IF(AND(ISNUMBER(Tâches!$J59),ISNUMBER(Tâches!$K59),M$4&gt;=Tâches!$J59,M$4&lt;=Tâches!$K59),1,"")</f>
        <v/>
      </c>
      <c r="N60" s="2" t="str">
        <f>IF(AND(ISNUMBER(Tâches!$J59),ISNUMBER(Tâches!$K59),N$4&gt;=Tâches!$J59,N$4&lt;=Tâches!$K59),1,"")</f>
        <v/>
      </c>
    </row>
    <row r="61" spans="1:14" ht="18" customHeight="1" x14ac:dyDescent="0.3">
      <c r="A61" s="2" t="str">
        <f>IF(Tâches!$C60="","",Tâches!$A60)</f>
        <v/>
      </c>
      <c r="B61" s="1" t="str">
        <f>IF(Tâches!$C60="","",Tâches!$C60)</f>
        <v/>
      </c>
      <c r="C61" s="2" t="str">
        <f>IF(Tâches!$C60="","",Tâches!$E60&amp;"")</f>
        <v/>
      </c>
      <c r="D61" s="2" t="str">
        <f>IF(Tâches!$C60="","",Tâches!$M60&amp;"")</f>
        <v/>
      </c>
      <c r="E61" s="2" t="str">
        <f>IF(AND(ISNUMBER(Tâches!$J60),ISNUMBER(Tâches!$K60),E$4&gt;=Tâches!$J60,E$4&lt;=Tâches!$K60),1,"")</f>
        <v/>
      </c>
      <c r="F61" s="2" t="str">
        <f>IF(AND(ISNUMBER(Tâches!$J60),ISNUMBER(Tâches!$K60),F$4&gt;=Tâches!$J60,F$4&lt;=Tâches!$K60),1,"")</f>
        <v/>
      </c>
      <c r="G61" s="2" t="str">
        <f>IF(AND(ISNUMBER(Tâches!$J60),ISNUMBER(Tâches!$K60),G$4&gt;=Tâches!$J60,G$4&lt;=Tâches!$K60),1,"")</f>
        <v/>
      </c>
      <c r="H61" s="2" t="str">
        <f>IF(AND(ISNUMBER(Tâches!$J60),ISNUMBER(Tâches!$K60),H$4&gt;=Tâches!$J60,H$4&lt;=Tâches!$K60),1,"")</f>
        <v/>
      </c>
      <c r="I61" s="2" t="str">
        <f>IF(AND(ISNUMBER(Tâches!$J60),ISNUMBER(Tâches!$K60),I$4&gt;=Tâches!$J60,I$4&lt;=Tâches!$K60),1,"")</f>
        <v/>
      </c>
      <c r="J61" s="2" t="str">
        <f>IF(AND(ISNUMBER(Tâches!$J60),ISNUMBER(Tâches!$K60),J$4&gt;=Tâches!$J60,J$4&lt;=Tâches!$K60),1,"")</f>
        <v/>
      </c>
      <c r="K61" s="2" t="str">
        <f>IF(AND(ISNUMBER(Tâches!$J60),ISNUMBER(Tâches!$K60),K$4&gt;=Tâches!$J60,K$4&lt;=Tâches!$K60),1,"")</f>
        <v/>
      </c>
      <c r="L61" s="2" t="str">
        <f>IF(AND(ISNUMBER(Tâches!$J60),ISNUMBER(Tâches!$K60),L$4&gt;=Tâches!$J60,L$4&lt;=Tâches!$K60),1,"")</f>
        <v/>
      </c>
      <c r="M61" s="2" t="str">
        <f>IF(AND(ISNUMBER(Tâches!$J60),ISNUMBER(Tâches!$K60),M$4&gt;=Tâches!$J60,M$4&lt;=Tâches!$K60),1,"")</f>
        <v/>
      </c>
      <c r="N61" s="2" t="str">
        <f>IF(AND(ISNUMBER(Tâches!$J60),ISNUMBER(Tâches!$K60),N$4&gt;=Tâches!$J60,N$4&lt;=Tâches!$K60),1,"")</f>
        <v/>
      </c>
    </row>
    <row r="62" spans="1:14" ht="18" customHeight="1" x14ac:dyDescent="0.3">
      <c r="A62" s="2" t="str">
        <f>IF(Tâches!$C61="","",Tâches!$A61)</f>
        <v/>
      </c>
      <c r="B62" s="1" t="str">
        <f>IF(Tâches!$C61="","",Tâches!$C61)</f>
        <v/>
      </c>
      <c r="C62" s="2" t="str">
        <f>IF(Tâches!$C61="","",Tâches!$E61&amp;"")</f>
        <v/>
      </c>
      <c r="D62" s="2" t="str">
        <f>IF(Tâches!$C61="","",Tâches!$M61&amp;"")</f>
        <v/>
      </c>
      <c r="E62" s="2" t="str">
        <f>IF(AND(ISNUMBER(Tâches!$J61),ISNUMBER(Tâches!$K61),E$4&gt;=Tâches!$J61,E$4&lt;=Tâches!$K61),1,"")</f>
        <v/>
      </c>
      <c r="F62" s="2" t="str">
        <f>IF(AND(ISNUMBER(Tâches!$J61),ISNUMBER(Tâches!$K61),F$4&gt;=Tâches!$J61,F$4&lt;=Tâches!$K61),1,"")</f>
        <v/>
      </c>
      <c r="G62" s="2" t="str">
        <f>IF(AND(ISNUMBER(Tâches!$J61),ISNUMBER(Tâches!$K61),G$4&gt;=Tâches!$J61,G$4&lt;=Tâches!$K61),1,"")</f>
        <v/>
      </c>
      <c r="H62" s="2" t="str">
        <f>IF(AND(ISNUMBER(Tâches!$J61),ISNUMBER(Tâches!$K61),H$4&gt;=Tâches!$J61,H$4&lt;=Tâches!$K61),1,"")</f>
        <v/>
      </c>
      <c r="I62" s="2" t="str">
        <f>IF(AND(ISNUMBER(Tâches!$J61),ISNUMBER(Tâches!$K61),I$4&gt;=Tâches!$J61,I$4&lt;=Tâches!$K61),1,"")</f>
        <v/>
      </c>
      <c r="J62" s="2" t="str">
        <f>IF(AND(ISNUMBER(Tâches!$J61),ISNUMBER(Tâches!$K61),J$4&gt;=Tâches!$J61,J$4&lt;=Tâches!$K61),1,"")</f>
        <v/>
      </c>
      <c r="K62" s="2" t="str">
        <f>IF(AND(ISNUMBER(Tâches!$J61),ISNUMBER(Tâches!$K61),K$4&gt;=Tâches!$J61,K$4&lt;=Tâches!$K61),1,"")</f>
        <v/>
      </c>
      <c r="L62" s="2" t="str">
        <f>IF(AND(ISNUMBER(Tâches!$J61),ISNUMBER(Tâches!$K61),L$4&gt;=Tâches!$J61,L$4&lt;=Tâches!$K61),1,"")</f>
        <v/>
      </c>
      <c r="M62" s="2" t="str">
        <f>IF(AND(ISNUMBER(Tâches!$J61),ISNUMBER(Tâches!$K61),M$4&gt;=Tâches!$J61,M$4&lt;=Tâches!$K61),1,"")</f>
        <v/>
      </c>
      <c r="N62" s="2" t="str">
        <f>IF(AND(ISNUMBER(Tâches!$J61),ISNUMBER(Tâches!$K61),N$4&gt;=Tâches!$J61,N$4&lt;=Tâches!$K61),1,"")</f>
        <v/>
      </c>
    </row>
    <row r="63" spans="1:14" ht="18" customHeight="1" x14ac:dyDescent="0.3">
      <c r="A63" s="2" t="str">
        <f>IF(Tâches!$C62="","",Tâches!$A62)</f>
        <v/>
      </c>
      <c r="B63" s="1" t="str">
        <f>IF(Tâches!$C62="","",Tâches!$C62)</f>
        <v/>
      </c>
      <c r="C63" s="2" t="str">
        <f>IF(Tâches!$C62="","",Tâches!$E62&amp;"")</f>
        <v/>
      </c>
      <c r="D63" s="2" t="str">
        <f>IF(Tâches!$C62="","",Tâches!$M62&amp;"")</f>
        <v/>
      </c>
      <c r="E63" s="2" t="str">
        <f>IF(AND(ISNUMBER(Tâches!$J62),ISNUMBER(Tâches!$K62),E$4&gt;=Tâches!$J62,E$4&lt;=Tâches!$K62),1,"")</f>
        <v/>
      </c>
      <c r="F63" s="2" t="str">
        <f>IF(AND(ISNUMBER(Tâches!$J62),ISNUMBER(Tâches!$K62),F$4&gt;=Tâches!$J62,F$4&lt;=Tâches!$K62),1,"")</f>
        <v/>
      </c>
      <c r="G63" s="2" t="str">
        <f>IF(AND(ISNUMBER(Tâches!$J62),ISNUMBER(Tâches!$K62),G$4&gt;=Tâches!$J62,G$4&lt;=Tâches!$K62),1,"")</f>
        <v/>
      </c>
      <c r="H63" s="2" t="str">
        <f>IF(AND(ISNUMBER(Tâches!$J62),ISNUMBER(Tâches!$K62),H$4&gt;=Tâches!$J62,H$4&lt;=Tâches!$K62),1,"")</f>
        <v/>
      </c>
      <c r="I63" s="2" t="str">
        <f>IF(AND(ISNUMBER(Tâches!$J62),ISNUMBER(Tâches!$K62),I$4&gt;=Tâches!$J62,I$4&lt;=Tâches!$K62),1,"")</f>
        <v/>
      </c>
      <c r="J63" s="2" t="str">
        <f>IF(AND(ISNUMBER(Tâches!$J62),ISNUMBER(Tâches!$K62),J$4&gt;=Tâches!$J62,J$4&lt;=Tâches!$K62),1,"")</f>
        <v/>
      </c>
      <c r="K63" s="2" t="str">
        <f>IF(AND(ISNUMBER(Tâches!$J62),ISNUMBER(Tâches!$K62),K$4&gt;=Tâches!$J62,K$4&lt;=Tâches!$K62),1,"")</f>
        <v/>
      </c>
      <c r="L63" s="2" t="str">
        <f>IF(AND(ISNUMBER(Tâches!$J62),ISNUMBER(Tâches!$K62),L$4&gt;=Tâches!$J62,L$4&lt;=Tâches!$K62),1,"")</f>
        <v/>
      </c>
      <c r="M63" s="2" t="str">
        <f>IF(AND(ISNUMBER(Tâches!$J62),ISNUMBER(Tâches!$K62),M$4&gt;=Tâches!$J62,M$4&lt;=Tâches!$K62),1,"")</f>
        <v/>
      </c>
      <c r="N63" s="2" t="str">
        <f>IF(AND(ISNUMBER(Tâches!$J62),ISNUMBER(Tâches!$K62),N$4&gt;=Tâches!$J62,N$4&lt;=Tâches!$K62),1,"")</f>
        <v/>
      </c>
    </row>
    <row r="64" spans="1:14" ht="18" customHeight="1" x14ac:dyDescent="0.3">
      <c r="A64" s="2" t="str">
        <f>IF(Tâches!$C63="","",Tâches!$A63)</f>
        <v/>
      </c>
      <c r="B64" s="1" t="str">
        <f>IF(Tâches!$C63="","",Tâches!$C63)</f>
        <v/>
      </c>
      <c r="C64" s="2" t="str">
        <f>IF(Tâches!$C63="","",Tâches!$E63&amp;"")</f>
        <v/>
      </c>
      <c r="D64" s="2" t="str">
        <f>IF(Tâches!$C63="","",Tâches!$M63&amp;"")</f>
        <v/>
      </c>
      <c r="E64" s="2" t="str">
        <f>IF(AND(ISNUMBER(Tâches!$J63),ISNUMBER(Tâches!$K63),E$4&gt;=Tâches!$J63,E$4&lt;=Tâches!$K63),1,"")</f>
        <v/>
      </c>
      <c r="F64" s="2" t="str">
        <f>IF(AND(ISNUMBER(Tâches!$J63),ISNUMBER(Tâches!$K63),F$4&gt;=Tâches!$J63,F$4&lt;=Tâches!$K63),1,"")</f>
        <v/>
      </c>
      <c r="G64" s="2" t="str">
        <f>IF(AND(ISNUMBER(Tâches!$J63),ISNUMBER(Tâches!$K63),G$4&gt;=Tâches!$J63,G$4&lt;=Tâches!$K63),1,"")</f>
        <v/>
      </c>
      <c r="H64" s="2" t="str">
        <f>IF(AND(ISNUMBER(Tâches!$J63),ISNUMBER(Tâches!$K63),H$4&gt;=Tâches!$J63,H$4&lt;=Tâches!$K63),1,"")</f>
        <v/>
      </c>
      <c r="I64" s="2" t="str">
        <f>IF(AND(ISNUMBER(Tâches!$J63),ISNUMBER(Tâches!$K63),I$4&gt;=Tâches!$J63,I$4&lt;=Tâches!$K63),1,"")</f>
        <v/>
      </c>
      <c r="J64" s="2" t="str">
        <f>IF(AND(ISNUMBER(Tâches!$J63),ISNUMBER(Tâches!$K63),J$4&gt;=Tâches!$J63,J$4&lt;=Tâches!$K63),1,"")</f>
        <v/>
      </c>
      <c r="K64" s="2" t="str">
        <f>IF(AND(ISNUMBER(Tâches!$J63),ISNUMBER(Tâches!$K63),K$4&gt;=Tâches!$J63,K$4&lt;=Tâches!$K63),1,"")</f>
        <v/>
      </c>
      <c r="L64" s="2" t="str">
        <f>IF(AND(ISNUMBER(Tâches!$J63),ISNUMBER(Tâches!$K63),L$4&gt;=Tâches!$J63,L$4&lt;=Tâches!$K63),1,"")</f>
        <v/>
      </c>
      <c r="M64" s="2" t="str">
        <f>IF(AND(ISNUMBER(Tâches!$J63),ISNUMBER(Tâches!$K63),M$4&gt;=Tâches!$J63,M$4&lt;=Tâches!$K63),1,"")</f>
        <v/>
      </c>
      <c r="N64" s="2" t="str">
        <f>IF(AND(ISNUMBER(Tâches!$J63),ISNUMBER(Tâches!$K63),N$4&gt;=Tâches!$J63,N$4&lt;=Tâches!$K63),1,"")</f>
        <v/>
      </c>
    </row>
    <row r="65" spans="1:14" ht="18" customHeight="1" x14ac:dyDescent="0.3">
      <c r="A65" s="2" t="str">
        <f>IF(Tâches!$C64="","",Tâches!$A64)</f>
        <v/>
      </c>
      <c r="B65" s="1" t="str">
        <f>IF(Tâches!$C64="","",Tâches!$C64)</f>
        <v/>
      </c>
      <c r="C65" s="2" t="str">
        <f>IF(Tâches!$C64="","",Tâches!$E64&amp;"")</f>
        <v/>
      </c>
      <c r="D65" s="2" t="str">
        <f>IF(Tâches!$C64="","",Tâches!$M64&amp;"")</f>
        <v/>
      </c>
      <c r="E65" s="2" t="str">
        <f>IF(AND(ISNUMBER(Tâches!$J64),ISNUMBER(Tâches!$K64),E$4&gt;=Tâches!$J64,E$4&lt;=Tâches!$K64),1,"")</f>
        <v/>
      </c>
      <c r="F65" s="2" t="str">
        <f>IF(AND(ISNUMBER(Tâches!$J64),ISNUMBER(Tâches!$K64),F$4&gt;=Tâches!$J64,F$4&lt;=Tâches!$K64),1,"")</f>
        <v/>
      </c>
      <c r="G65" s="2" t="str">
        <f>IF(AND(ISNUMBER(Tâches!$J64),ISNUMBER(Tâches!$K64),G$4&gt;=Tâches!$J64,G$4&lt;=Tâches!$K64),1,"")</f>
        <v/>
      </c>
      <c r="H65" s="2" t="str">
        <f>IF(AND(ISNUMBER(Tâches!$J64),ISNUMBER(Tâches!$K64),H$4&gt;=Tâches!$J64,H$4&lt;=Tâches!$K64),1,"")</f>
        <v/>
      </c>
      <c r="I65" s="2" t="str">
        <f>IF(AND(ISNUMBER(Tâches!$J64),ISNUMBER(Tâches!$K64),I$4&gt;=Tâches!$J64,I$4&lt;=Tâches!$K64),1,"")</f>
        <v/>
      </c>
      <c r="J65" s="2" t="str">
        <f>IF(AND(ISNUMBER(Tâches!$J64),ISNUMBER(Tâches!$K64),J$4&gt;=Tâches!$J64,J$4&lt;=Tâches!$K64),1,"")</f>
        <v/>
      </c>
      <c r="K65" s="2" t="str">
        <f>IF(AND(ISNUMBER(Tâches!$J64),ISNUMBER(Tâches!$K64),K$4&gt;=Tâches!$J64,K$4&lt;=Tâches!$K64),1,"")</f>
        <v/>
      </c>
      <c r="L65" s="2" t="str">
        <f>IF(AND(ISNUMBER(Tâches!$J64),ISNUMBER(Tâches!$K64),L$4&gt;=Tâches!$J64,L$4&lt;=Tâches!$K64),1,"")</f>
        <v/>
      </c>
      <c r="M65" s="2" t="str">
        <f>IF(AND(ISNUMBER(Tâches!$J64),ISNUMBER(Tâches!$K64),M$4&gt;=Tâches!$J64,M$4&lt;=Tâches!$K64),1,"")</f>
        <v/>
      </c>
      <c r="N65" s="2" t="str">
        <f>IF(AND(ISNUMBER(Tâches!$J64),ISNUMBER(Tâches!$K64),N$4&gt;=Tâches!$J64,N$4&lt;=Tâches!$K64),1,"")</f>
        <v/>
      </c>
    </row>
  </sheetData>
  <mergeCells count="2">
    <mergeCell ref="A1:N1"/>
    <mergeCell ref="A2:N2"/>
  </mergeCells>
  <conditionalFormatting sqref="E6:N65">
    <cfRule type="expression" dxfId="9" priority="2">
      <formula>AND(E6=1,$D6="Terminé")</formula>
    </cfRule>
    <cfRule type="expression" dxfId="8" priority="3">
      <formula>E6=1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&amp;LM. Moundzeki — Campus La Salle Issy-les-Moulineaux&amp;R&amp;A — 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9"/>
  <sheetViews>
    <sheetView zoomScaleNormal="100" workbookViewId="0">
      <selection activeCell="D6" sqref="D6"/>
    </sheetView>
  </sheetViews>
  <sheetFormatPr defaultColWidth="8.6640625" defaultRowHeight="14.4" x14ac:dyDescent="0.3"/>
  <cols>
    <col min="1" max="1" width="7" customWidth="1"/>
    <col min="2" max="2" width="34" customWidth="1"/>
    <col min="3" max="3" width="9" customWidth="1"/>
    <col min="4" max="4" width="13" customWidth="1"/>
    <col min="5" max="5" width="60" customWidth="1"/>
    <col min="6" max="6" width="10" customWidth="1"/>
    <col min="7" max="7" width="13" customWidth="1"/>
  </cols>
  <sheetData>
    <row r="1" spans="1:7" ht="27.75" customHeight="1" x14ac:dyDescent="0.3">
      <c r="A1" s="45" t="s">
        <v>108</v>
      </c>
      <c r="B1" s="45"/>
      <c r="C1" s="45"/>
      <c r="D1" s="45"/>
      <c r="E1" s="45"/>
      <c r="F1" s="45"/>
      <c r="G1" s="45"/>
    </row>
    <row r="2" spans="1:7" ht="30" customHeight="1" x14ac:dyDescent="0.3">
      <c r="A2" s="29" t="s">
        <v>109</v>
      </c>
      <c r="B2" s="29"/>
      <c r="C2" s="29"/>
      <c r="D2" s="29"/>
      <c r="E2" s="29"/>
      <c r="F2" s="29"/>
      <c r="G2" s="29"/>
    </row>
    <row r="3" spans="1:7" x14ac:dyDescent="0.3">
      <c r="A3" s="9"/>
      <c r="B3" s="9"/>
      <c r="C3" s="9"/>
      <c r="D3" s="9"/>
      <c r="E3" s="9"/>
      <c r="F3" s="9"/>
      <c r="G3" s="9"/>
    </row>
    <row r="4" spans="1:7" ht="31.5" customHeight="1" x14ac:dyDescent="0.3">
      <c r="A4" s="14" t="s">
        <v>100</v>
      </c>
      <c r="B4" s="14" t="s">
        <v>110</v>
      </c>
      <c r="C4" s="14" t="s">
        <v>111</v>
      </c>
      <c r="D4" s="14" t="s">
        <v>112</v>
      </c>
      <c r="E4" s="14" t="s">
        <v>113</v>
      </c>
      <c r="F4" s="14" t="s">
        <v>114</v>
      </c>
      <c r="G4" s="14" t="s">
        <v>115</v>
      </c>
    </row>
    <row r="5" spans="1:7" ht="30" customHeight="1" x14ac:dyDescent="0.3">
      <c r="A5" s="14" t="s">
        <v>116</v>
      </c>
      <c r="B5" s="10" t="s">
        <v>117</v>
      </c>
      <c r="C5" s="14" t="s">
        <v>118</v>
      </c>
      <c r="D5" s="26">
        <v>46309</v>
      </c>
      <c r="E5" s="10" t="s">
        <v>119</v>
      </c>
      <c r="F5" s="14" t="s">
        <v>205</v>
      </c>
      <c r="G5" s="26">
        <v>46309</v>
      </c>
    </row>
    <row r="6" spans="1:7" ht="30" customHeight="1" x14ac:dyDescent="0.3">
      <c r="A6" s="14" t="s">
        <v>120</v>
      </c>
      <c r="B6" s="10" t="s">
        <v>121</v>
      </c>
      <c r="C6" s="14" t="s">
        <v>122</v>
      </c>
      <c r="D6" s="26" t="s">
        <v>207</v>
      </c>
      <c r="E6" s="10" t="s">
        <v>123</v>
      </c>
      <c r="F6" s="14"/>
      <c r="G6" s="26"/>
    </row>
    <row r="7" spans="1:7" ht="30" customHeight="1" x14ac:dyDescent="0.3">
      <c r="A7" s="14" t="s">
        <v>124</v>
      </c>
      <c r="B7" s="10" t="s">
        <v>125</v>
      </c>
      <c r="C7" s="14" t="s">
        <v>126</v>
      </c>
      <c r="D7" s="26" t="s">
        <v>206</v>
      </c>
      <c r="E7" s="10" t="s">
        <v>127</v>
      </c>
      <c r="F7" s="14"/>
      <c r="G7" s="26"/>
    </row>
    <row r="8" spans="1:7" ht="30" customHeight="1" x14ac:dyDescent="0.3">
      <c r="A8" s="14" t="s">
        <v>128</v>
      </c>
      <c r="B8" s="10" t="s">
        <v>129</v>
      </c>
      <c r="C8" s="14" t="s">
        <v>130</v>
      </c>
      <c r="D8" s="26">
        <v>46065</v>
      </c>
      <c r="E8" s="10" t="s">
        <v>131</v>
      </c>
      <c r="F8" s="14"/>
      <c r="G8" s="26"/>
    </row>
    <row r="9" spans="1:7" ht="30" customHeight="1" x14ac:dyDescent="0.3">
      <c r="A9" s="14" t="s">
        <v>132</v>
      </c>
      <c r="B9" s="10" t="s">
        <v>133</v>
      </c>
      <c r="C9" s="14" t="s">
        <v>134</v>
      </c>
      <c r="D9" s="26">
        <v>46277</v>
      </c>
      <c r="E9" s="10" t="s">
        <v>135</v>
      </c>
      <c r="F9" s="14"/>
      <c r="G9" s="26"/>
    </row>
  </sheetData>
  <mergeCells count="2">
    <mergeCell ref="A1:G1"/>
    <mergeCell ref="A2:G2"/>
  </mergeCells>
  <conditionalFormatting sqref="F5:F9">
    <cfRule type="expression" dxfId="7" priority="2">
      <formula>F5="Oui"</formula>
    </cfRule>
    <cfRule type="expression" dxfId="6" priority="3">
      <formula>F5="Non"</formula>
    </cfRule>
  </conditionalFormatting>
  <dataValidations count="1">
    <dataValidation type="list" allowBlank="1" sqref="F5:F9" xr:uid="{00000000-0002-0000-0600-000000000000}">
      <formula1>"Oui,Non"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&amp;LM. Moundzeki — Campus La Salle Issy-les-Moulineaux&amp;R&amp;A — 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22"/>
  <sheetViews>
    <sheetView zoomScaleNormal="100" workbookViewId="0">
      <selection activeCell="D4" sqref="D4"/>
    </sheetView>
  </sheetViews>
  <sheetFormatPr defaultColWidth="8.6640625" defaultRowHeight="14.4" x14ac:dyDescent="0.3"/>
  <cols>
    <col min="1" max="1" width="7" customWidth="1"/>
    <col min="2" max="2" width="36" customWidth="1"/>
    <col min="3" max="7" width="16" customWidth="1"/>
  </cols>
  <sheetData>
    <row r="1" spans="1:7" ht="27.75" customHeight="1" x14ac:dyDescent="0.3">
      <c r="A1" s="28" t="s">
        <v>136</v>
      </c>
      <c r="B1" s="28"/>
      <c r="C1" s="28"/>
      <c r="D1" s="28"/>
      <c r="E1" s="28"/>
      <c r="F1" s="28"/>
      <c r="G1" s="28"/>
    </row>
    <row r="2" spans="1:7" ht="30" customHeight="1" x14ac:dyDescent="0.3">
      <c r="A2" s="29" t="s">
        <v>137</v>
      </c>
      <c r="B2" s="29"/>
      <c r="C2" s="29"/>
      <c r="D2" s="29"/>
      <c r="E2" s="29"/>
      <c r="F2" s="29"/>
      <c r="G2" s="29"/>
    </row>
    <row r="3" spans="1:7" x14ac:dyDescent="0.3">
      <c r="A3" s="9"/>
      <c r="B3" s="9"/>
      <c r="C3" s="9"/>
      <c r="D3" s="9"/>
      <c r="E3" s="9"/>
      <c r="F3" s="9"/>
      <c r="G3" s="9"/>
    </row>
    <row r="4" spans="1:7" ht="31.5" customHeight="1" x14ac:dyDescent="0.3">
      <c r="A4" s="14" t="s">
        <v>100</v>
      </c>
      <c r="B4" s="14" t="s">
        <v>138</v>
      </c>
      <c r="C4" s="14" t="str">
        <f>IF(Équipe!A5="","Membre 1",Équipe!A5)</f>
        <v>Eren ASLAN</v>
      </c>
      <c r="D4" s="14" t="str">
        <f>IF(Équipe!A6="","Membre 2",Équipe!A6)</f>
        <v>Dymitro DUDAR</v>
      </c>
      <c r="E4" s="14" t="str">
        <f>IF(Équipe!A7="","Membre 3",Équipe!A7)</f>
        <v>Maxime ROPARS</v>
      </c>
      <c r="F4" s="14" t="str">
        <f>IF(Équipe!A8="","Membre 4",Équipe!A8)</f>
        <v>Membre 4</v>
      </c>
      <c r="G4" s="14" t="s">
        <v>139</v>
      </c>
    </row>
    <row r="5" spans="1:7" ht="19.5" customHeight="1" x14ac:dyDescent="0.3">
      <c r="A5" s="14" t="s">
        <v>140</v>
      </c>
      <c r="B5" s="10" t="s">
        <v>141</v>
      </c>
      <c r="C5" s="14" t="s">
        <v>203</v>
      </c>
      <c r="D5" s="14"/>
      <c r="E5" s="14"/>
      <c r="F5" s="14"/>
      <c r="G5" s="14" t="str">
        <f t="shared" ref="G5:G20" si="0">IF(COUNTA(C5:F5)=0,"",IF(COUNTIF(C5:F5,"A")+COUNTIF(C5:F5,"A/R")&lt;&gt;1,"Un seul A requis",IF(COUNTIF(C5:F5,"R")+COUNTIF(C5:F5,"A/R")=0,"Il manque un R","OK")))</f>
        <v>OK</v>
      </c>
    </row>
    <row r="6" spans="1:7" ht="19.5" customHeight="1" x14ac:dyDescent="0.3">
      <c r="A6" s="14" t="s">
        <v>142</v>
      </c>
      <c r="B6" s="10" t="s">
        <v>143</v>
      </c>
      <c r="C6" s="14" t="s">
        <v>203</v>
      </c>
      <c r="D6" s="14" t="s">
        <v>204</v>
      </c>
      <c r="E6" s="14" t="s">
        <v>204</v>
      </c>
      <c r="F6" s="14"/>
      <c r="G6" s="14" t="str">
        <f t="shared" si="0"/>
        <v>OK</v>
      </c>
    </row>
    <row r="7" spans="1:7" ht="19.5" customHeight="1" x14ac:dyDescent="0.3">
      <c r="A7" s="14" t="s">
        <v>144</v>
      </c>
      <c r="B7" s="10" t="s">
        <v>145</v>
      </c>
      <c r="C7" s="14"/>
      <c r="D7" s="14"/>
      <c r="E7" s="14"/>
      <c r="F7" s="14"/>
      <c r="G7" s="14" t="str">
        <f t="shared" si="0"/>
        <v/>
      </c>
    </row>
    <row r="8" spans="1:7" ht="19.5" customHeight="1" x14ac:dyDescent="0.3">
      <c r="A8" s="14" t="s">
        <v>146</v>
      </c>
      <c r="B8" s="10" t="s">
        <v>147</v>
      </c>
      <c r="C8" s="14"/>
      <c r="D8" s="14"/>
      <c r="E8" s="14"/>
      <c r="F8" s="14"/>
      <c r="G8" s="14" t="str">
        <f t="shared" si="0"/>
        <v/>
      </c>
    </row>
    <row r="9" spans="1:7" ht="19.5" customHeight="1" x14ac:dyDescent="0.3">
      <c r="A9" s="14" t="s">
        <v>148</v>
      </c>
      <c r="B9" s="10" t="s">
        <v>149</v>
      </c>
      <c r="C9" s="14"/>
      <c r="D9" s="14"/>
      <c r="E9" s="14"/>
      <c r="F9" s="14"/>
      <c r="G9" s="14" t="str">
        <f t="shared" si="0"/>
        <v/>
      </c>
    </row>
    <row r="10" spans="1:7" ht="19.5" customHeight="1" x14ac:dyDescent="0.3">
      <c r="A10" s="14" t="s">
        <v>150</v>
      </c>
      <c r="B10" s="10" t="s">
        <v>151</v>
      </c>
      <c r="C10" s="14"/>
      <c r="D10" s="14"/>
      <c r="E10" s="14"/>
      <c r="F10" s="14"/>
      <c r="G10" s="14" t="str">
        <f t="shared" si="0"/>
        <v/>
      </c>
    </row>
    <row r="11" spans="1:7" ht="19.5" customHeight="1" x14ac:dyDescent="0.3">
      <c r="A11" s="14" t="s">
        <v>152</v>
      </c>
      <c r="B11" s="10" t="s">
        <v>153</v>
      </c>
      <c r="C11" s="14"/>
      <c r="D11" s="14"/>
      <c r="E11" s="14"/>
      <c r="F11" s="14"/>
      <c r="G11" s="14" t="str">
        <f t="shared" si="0"/>
        <v/>
      </c>
    </row>
    <row r="12" spans="1:7" ht="19.5" customHeight="1" x14ac:dyDescent="0.3">
      <c r="A12" s="14" t="s">
        <v>154</v>
      </c>
      <c r="B12" s="10" t="s">
        <v>155</v>
      </c>
      <c r="C12" s="14"/>
      <c r="D12" s="14"/>
      <c r="E12" s="14"/>
      <c r="F12" s="14"/>
      <c r="G12" s="14" t="str">
        <f t="shared" si="0"/>
        <v/>
      </c>
    </row>
    <row r="13" spans="1:7" ht="19.5" customHeight="1" x14ac:dyDescent="0.3">
      <c r="A13" s="14"/>
      <c r="B13" s="10"/>
      <c r="C13" s="14"/>
      <c r="D13" s="14"/>
      <c r="E13" s="14"/>
      <c r="F13" s="14"/>
      <c r="G13" s="14" t="str">
        <f t="shared" si="0"/>
        <v/>
      </c>
    </row>
    <row r="14" spans="1:7" ht="19.5" customHeight="1" x14ac:dyDescent="0.3">
      <c r="A14" s="14"/>
      <c r="B14" s="10"/>
      <c r="C14" s="14"/>
      <c r="D14" s="14"/>
      <c r="E14" s="14"/>
      <c r="F14" s="14"/>
      <c r="G14" s="14" t="str">
        <f t="shared" si="0"/>
        <v/>
      </c>
    </row>
    <row r="15" spans="1:7" ht="19.5" customHeight="1" x14ac:dyDescent="0.3">
      <c r="A15" s="14"/>
      <c r="B15" s="10"/>
      <c r="C15" s="14"/>
      <c r="D15" s="14"/>
      <c r="E15" s="14"/>
      <c r="F15" s="14"/>
      <c r="G15" s="14" t="str">
        <f t="shared" si="0"/>
        <v/>
      </c>
    </row>
    <row r="16" spans="1:7" ht="19.5" customHeight="1" x14ac:dyDescent="0.3">
      <c r="A16" s="14"/>
      <c r="B16" s="10"/>
      <c r="C16" s="14"/>
      <c r="D16" s="14"/>
      <c r="E16" s="14"/>
      <c r="F16" s="14"/>
      <c r="G16" s="14" t="str">
        <f t="shared" si="0"/>
        <v/>
      </c>
    </row>
    <row r="17" spans="1:7" ht="19.5" customHeight="1" x14ac:dyDescent="0.3">
      <c r="A17" s="14"/>
      <c r="B17" s="10"/>
      <c r="C17" s="14"/>
      <c r="D17" s="14"/>
      <c r="E17" s="14"/>
      <c r="F17" s="14"/>
      <c r="G17" s="14" t="str">
        <f t="shared" si="0"/>
        <v/>
      </c>
    </row>
    <row r="18" spans="1:7" ht="19.5" customHeight="1" x14ac:dyDescent="0.3">
      <c r="A18" s="14"/>
      <c r="B18" s="10"/>
      <c r="C18" s="14"/>
      <c r="D18" s="14"/>
      <c r="E18" s="14"/>
      <c r="F18" s="14"/>
      <c r="G18" s="14" t="str">
        <f t="shared" si="0"/>
        <v/>
      </c>
    </row>
    <row r="19" spans="1:7" ht="19.5" customHeight="1" x14ac:dyDescent="0.3">
      <c r="A19" s="14"/>
      <c r="B19" s="10"/>
      <c r="C19" s="14"/>
      <c r="D19" s="14"/>
      <c r="E19" s="14"/>
      <c r="F19" s="14"/>
      <c r="G19" s="14" t="str">
        <f t="shared" si="0"/>
        <v/>
      </c>
    </row>
    <row r="20" spans="1:7" ht="19.5" customHeight="1" x14ac:dyDescent="0.3">
      <c r="A20" s="14"/>
      <c r="B20" s="10"/>
      <c r="C20" s="14"/>
      <c r="D20" s="14"/>
      <c r="E20" s="14"/>
      <c r="F20" s="14"/>
      <c r="G20" s="14" t="str">
        <f t="shared" si="0"/>
        <v/>
      </c>
    </row>
    <row r="22" spans="1:7" x14ac:dyDescent="0.3">
      <c r="A22" s="3" t="s">
        <v>156</v>
      </c>
    </row>
  </sheetData>
  <mergeCells count="2">
    <mergeCell ref="A1:G1"/>
    <mergeCell ref="A2:G2"/>
  </mergeCells>
  <conditionalFormatting sqref="G5:G20">
    <cfRule type="expression" dxfId="5" priority="2">
      <formula>G5="OK"</formula>
    </cfRule>
    <cfRule type="expression" dxfId="4" priority="3">
      <formula>AND(G5&lt;&gt;"",G5&lt;&gt;"OK")</formula>
    </cfRule>
  </conditionalFormatting>
  <dataValidations count="1">
    <dataValidation type="list" allowBlank="1" sqref="C5:F20" xr:uid="{00000000-0002-0000-0700-000000000000}">
      <formula1>"R,A,A/R,C,I"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&amp;LM. Moundzeki — Campus La Salle Issy-les-Moulineaux&amp;R&amp;A — 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6" sqref="K6"/>
    </sheetView>
  </sheetViews>
  <sheetFormatPr defaultColWidth="8.6640625" defaultRowHeight="14.4" x14ac:dyDescent="0.3"/>
  <cols>
    <col min="1" max="1" width="5" customWidth="1"/>
    <col min="2" max="2" width="12" customWidth="1"/>
    <col min="3" max="3" width="34" customWidth="1"/>
    <col min="4" max="4" width="24" customWidth="1"/>
    <col min="5" max="5" width="28" customWidth="1"/>
    <col min="6" max="6" width="16.109375" customWidth="1"/>
    <col min="7" max="7" width="13.33203125" customWidth="1"/>
    <col min="8" max="9" width="9" customWidth="1"/>
    <col min="10" max="11" width="30" customWidth="1"/>
    <col min="12" max="12" width="16" customWidth="1"/>
    <col min="13" max="13" width="11" customWidth="1"/>
  </cols>
  <sheetData>
    <row r="1" spans="1:13" ht="27.75" customHeight="1" x14ac:dyDescent="0.3">
      <c r="A1" s="46" t="s">
        <v>157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30" customHeight="1" x14ac:dyDescent="0.3">
      <c r="A2" s="29" t="s">
        <v>158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9.75" customHeight="1" x14ac:dyDescent="0.3">
      <c r="A4" s="14" t="s">
        <v>159</v>
      </c>
      <c r="B4" s="14" t="s">
        <v>160</v>
      </c>
      <c r="C4" s="14" t="s">
        <v>161</v>
      </c>
      <c r="D4" s="14" t="s">
        <v>162</v>
      </c>
      <c r="E4" s="14" t="s">
        <v>163</v>
      </c>
      <c r="F4" s="14" t="s">
        <v>164</v>
      </c>
      <c r="G4" s="14" t="s">
        <v>165</v>
      </c>
      <c r="H4" s="14" t="s">
        <v>166</v>
      </c>
      <c r="I4" s="14" t="s">
        <v>167</v>
      </c>
      <c r="J4" s="14" t="s">
        <v>168</v>
      </c>
      <c r="K4" s="14" t="s">
        <v>169</v>
      </c>
      <c r="L4" s="14" t="s">
        <v>70</v>
      </c>
      <c r="M4" s="14" t="s">
        <v>78</v>
      </c>
    </row>
    <row r="5" spans="1:13" ht="46.2" customHeight="1" x14ac:dyDescent="0.3">
      <c r="A5" s="14" t="s">
        <v>170</v>
      </c>
      <c r="B5" s="14" t="s">
        <v>171</v>
      </c>
      <c r="C5" s="10" t="s">
        <v>172</v>
      </c>
      <c r="D5" s="10" t="s">
        <v>173</v>
      </c>
      <c r="E5" s="10" t="s">
        <v>174</v>
      </c>
      <c r="F5" s="14">
        <v>3</v>
      </c>
      <c r="G5" s="14">
        <v>3</v>
      </c>
      <c r="H5" s="14">
        <f t="shared" ref="H5:H16" si="0">IF(COUNT(F5:G5)=2,F5*G5,"")</f>
        <v>9</v>
      </c>
      <c r="I5" s="14" t="str">
        <f t="shared" ref="I5:I16" si="1">IF(H5="","",IF(H5&gt;=9,"Élevé",IF(H5&gt;=4,"Moyen","Faible")))</f>
        <v>Élevé</v>
      </c>
      <c r="J5" s="10" t="s">
        <v>175</v>
      </c>
      <c r="K5" s="10" t="s">
        <v>176</v>
      </c>
      <c r="L5" s="14" t="s">
        <v>192</v>
      </c>
      <c r="M5" s="14" t="s">
        <v>177</v>
      </c>
    </row>
    <row r="6" spans="1:13" ht="36" customHeight="1" x14ac:dyDescent="0.3">
      <c r="A6" s="14" t="s">
        <v>178</v>
      </c>
      <c r="B6" s="14"/>
      <c r="C6" s="10"/>
      <c r="D6" s="10"/>
      <c r="E6" s="10"/>
      <c r="F6" s="14"/>
      <c r="G6" s="14"/>
      <c r="H6" s="14" t="str">
        <f t="shared" si="0"/>
        <v/>
      </c>
      <c r="I6" s="14" t="str">
        <f t="shared" si="1"/>
        <v/>
      </c>
      <c r="J6" s="10"/>
      <c r="K6" s="10"/>
      <c r="L6" s="14"/>
      <c r="M6" s="14"/>
    </row>
    <row r="7" spans="1:13" ht="36" customHeight="1" x14ac:dyDescent="0.3">
      <c r="A7" s="14" t="s">
        <v>179</v>
      </c>
      <c r="B7" s="14"/>
      <c r="C7" s="10"/>
      <c r="D7" s="10"/>
      <c r="E7" s="10"/>
      <c r="F7" s="14"/>
      <c r="G7" s="14"/>
      <c r="H7" s="14" t="str">
        <f t="shared" si="0"/>
        <v/>
      </c>
      <c r="I7" s="14" t="str">
        <f t="shared" si="1"/>
        <v/>
      </c>
      <c r="J7" s="10"/>
      <c r="K7" s="10"/>
      <c r="L7" s="14"/>
      <c r="M7" s="14"/>
    </row>
    <row r="8" spans="1:13" ht="36" customHeight="1" x14ac:dyDescent="0.3">
      <c r="A8" s="14" t="s">
        <v>180</v>
      </c>
      <c r="B8" s="14"/>
      <c r="C8" s="10"/>
      <c r="D8" s="10"/>
      <c r="E8" s="10"/>
      <c r="F8" s="14"/>
      <c r="G8" s="14"/>
      <c r="H8" s="14" t="str">
        <f t="shared" si="0"/>
        <v/>
      </c>
      <c r="I8" s="14" t="str">
        <f t="shared" si="1"/>
        <v/>
      </c>
      <c r="J8" s="10"/>
      <c r="K8" s="10"/>
      <c r="L8" s="14"/>
      <c r="M8" s="14"/>
    </row>
    <row r="9" spans="1:13" ht="36" customHeight="1" x14ac:dyDescent="0.3">
      <c r="A9" s="14" t="s">
        <v>181</v>
      </c>
      <c r="B9" s="14"/>
      <c r="C9" s="10"/>
      <c r="D9" s="10"/>
      <c r="E9" s="10"/>
      <c r="F9" s="14"/>
      <c r="G9" s="14"/>
      <c r="H9" s="14" t="str">
        <f t="shared" si="0"/>
        <v/>
      </c>
      <c r="I9" s="14" t="str">
        <f t="shared" si="1"/>
        <v/>
      </c>
      <c r="J9" s="10"/>
      <c r="K9" s="10"/>
      <c r="L9" s="14"/>
      <c r="M9" s="14"/>
    </row>
    <row r="10" spans="1:13" ht="36" customHeight="1" x14ac:dyDescent="0.3">
      <c r="A10" s="14" t="s">
        <v>182</v>
      </c>
      <c r="B10" s="14"/>
      <c r="C10" s="10"/>
      <c r="D10" s="10"/>
      <c r="E10" s="10"/>
      <c r="F10" s="14"/>
      <c r="G10" s="14"/>
      <c r="H10" s="14" t="str">
        <f t="shared" si="0"/>
        <v/>
      </c>
      <c r="I10" s="14" t="str">
        <f t="shared" si="1"/>
        <v/>
      </c>
      <c r="J10" s="10"/>
      <c r="K10" s="10"/>
      <c r="L10" s="14"/>
      <c r="M10" s="14"/>
    </row>
    <row r="11" spans="1:13" ht="36" customHeight="1" x14ac:dyDescent="0.3">
      <c r="A11" s="14" t="s">
        <v>183</v>
      </c>
      <c r="B11" s="14"/>
      <c r="C11" s="10"/>
      <c r="D11" s="10"/>
      <c r="E11" s="10"/>
      <c r="F11" s="14"/>
      <c r="G11" s="14"/>
      <c r="H11" s="14" t="str">
        <f t="shared" si="0"/>
        <v/>
      </c>
      <c r="I11" s="14" t="str">
        <f t="shared" si="1"/>
        <v/>
      </c>
      <c r="J11" s="10"/>
      <c r="K11" s="10"/>
      <c r="L11" s="14"/>
      <c r="M11" s="14"/>
    </row>
    <row r="12" spans="1:13" ht="36" customHeight="1" x14ac:dyDescent="0.3">
      <c r="A12" s="14" t="s">
        <v>184</v>
      </c>
      <c r="B12" s="14"/>
      <c r="C12" s="10"/>
      <c r="D12" s="10"/>
      <c r="E12" s="10"/>
      <c r="F12" s="14"/>
      <c r="G12" s="14"/>
      <c r="H12" s="14" t="str">
        <f t="shared" si="0"/>
        <v/>
      </c>
      <c r="I12" s="14" t="str">
        <f t="shared" si="1"/>
        <v/>
      </c>
      <c r="J12" s="10"/>
      <c r="K12" s="10"/>
      <c r="L12" s="14"/>
      <c r="M12" s="14"/>
    </row>
    <row r="13" spans="1:13" ht="36" customHeight="1" x14ac:dyDescent="0.3">
      <c r="A13" s="14" t="s">
        <v>185</v>
      </c>
      <c r="B13" s="14"/>
      <c r="C13" s="10"/>
      <c r="D13" s="10"/>
      <c r="E13" s="10"/>
      <c r="F13" s="14"/>
      <c r="G13" s="14"/>
      <c r="H13" s="14" t="str">
        <f t="shared" si="0"/>
        <v/>
      </c>
      <c r="I13" s="14" t="str">
        <f t="shared" si="1"/>
        <v/>
      </c>
      <c r="J13" s="10"/>
      <c r="K13" s="10"/>
      <c r="L13" s="14"/>
      <c r="M13" s="14"/>
    </row>
    <row r="14" spans="1:13" ht="36" customHeight="1" x14ac:dyDescent="0.3">
      <c r="A14" s="14" t="s">
        <v>186</v>
      </c>
      <c r="B14" s="14"/>
      <c r="C14" s="10"/>
      <c r="D14" s="10"/>
      <c r="E14" s="10"/>
      <c r="F14" s="14"/>
      <c r="G14" s="14"/>
      <c r="H14" s="14" t="str">
        <f t="shared" si="0"/>
        <v/>
      </c>
      <c r="I14" s="14" t="str">
        <f t="shared" si="1"/>
        <v/>
      </c>
      <c r="J14" s="10"/>
      <c r="K14" s="10"/>
      <c r="L14" s="14"/>
      <c r="M14" s="14"/>
    </row>
    <row r="15" spans="1:13" ht="36" customHeight="1" x14ac:dyDescent="0.3">
      <c r="A15" s="14" t="s">
        <v>187</v>
      </c>
      <c r="B15" s="14"/>
      <c r="C15" s="10"/>
      <c r="D15" s="10"/>
      <c r="E15" s="10"/>
      <c r="F15" s="14"/>
      <c r="G15" s="14"/>
      <c r="H15" s="14" t="str">
        <f t="shared" si="0"/>
        <v/>
      </c>
      <c r="I15" s="14" t="str">
        <f t="shared" si="1"/>
        <v/>
      </c>
      <c r="J15" s="10"/>
      <c r="K15" s="10"/>
      <c r="L15" s="14"/>
      <c r="M15" s="14"/>
    </row>
    <row r="16" spans="1:13" ht="36" customHeight="1" x14ac:dyDescent="0.3">
      <c r="A16" s="14" t="s">
        <v>188</v>
      </c>
      <c r="B16" s="14"/>
      <c r="C16" s="10"/>
      <c r="D16" s="10"/>
      <c r="E16" s="10"/>
      <c r="F16" s="14"/>
      <c r="G16" s="14"/>
      <c r="H16" s="14" t="str">
        <f t="shared" si="0"/>
        <v/>
      </c>
      <c r="I16" s="14" t="str">
        <f t="shared" si="1"/>
        <v/>
      </c>
      <c r="J16" s="10"/>
      <c r="K16" s="10"/>
      <c r="L16" s="14"/>
      <c r="M16" s="14"/>
    </row>
    <row r="18" spans="1:1" x14ac:dyDescent="0.3">
      <c r="A18" s="3" t="s">
        <v>189</v>
      </c>
    </row>
  </sheetData>
  <mergeCells count="2">
    <mergeCell ref="A1:M1"/>
    <mergeCell ref="A2:M2"/>
  </mergeCells>
  <conditionalFormatting sqref="H5:I16">
    <cfRule type="expression" dxfId="3" priority="2">
      <formula>AND(ISNUMBER($H5),$H5&gt;=9)</formula>
    </cfRule>
    <cfRule type="expression" dxfId="2" priority="3">
      <formula>AND(ISNUMBER($H5),$H5&gt;=4)</formula>
    </cfRule>
    <cfRule type="expression" dxfId="1" priority="4">
      <formula>ISNUMBER($H5)</formula>
    </cfRule>
  </conditionalFormatting>
  <conditionalFormatting sqref="J5:K16">
    <cfRule type="expression" dxfId="0" priority="5">
      <formula>AND(ISNUMBER($H5),$H5&gt;=6,J5="")</formula>
    </cfRule>
  </conditionalFormatting>
  <dataValidations count="3">
    <dataValidation type="list" allowBlank="1" sqref="B5:B16" xr:uid="{00000000-0002-0000-0800-000000000000}">
      <formula1>"Matériel,Technique,Humain,Organisation"</formula1>
      <formula2>0</formula2>
    </dataValidation>
    <dataValidation type="whole" allowBlank="1" showErrorMessage="1" error="Note de 1 à 4" sqref="F5:G16" xr:uid="{00000000-0002-0000-0800-000001000000}">
      <formula1>1</formula1>
      <formula2>4</formula2>
    </dataValidation>
    <dataValidation type="list" allowBlank="1" sqref="M5:M16" xr:uid="{00000000-0002-0000-0800-000002000000}">
      <formula1>"Surveillé,Survenu,Clos"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&amp;LM. Moundzeki — Campus La Salle Issy-les-Moulineaux&amp;R&amp;A — 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3000000}">
          <x14:formula1>
            <xm:f>Équipe!$A$5:$A$8</xm:f>
          </x14:formula1>
          <x14:formula2>
            <xm:f>0</xm:f>
          </x14:formula2>
          <xm:sqref>L5:L16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 d'emploi</vt:lpstr>
      <vt:lpstr>Synthèse</vt:lpstr>
      <vt:lpstr>Listes</vt:lpstr>
      <vt:lpstr>Équipe</vt:lpstr>
      <vt:lpstr>Tâches</vt:lpstr>
      <vt:lpstr>Gantt</vt:lpstr>
      <vt:lpstr>Jalons</vt:lpstr>
      <vt:lpstr>RACI</vt:lpstr>
      <vt:lpstr>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Ridvan Eren ASLAN</cp:lastModifiedBy>
  <cp:revision>0</cp:revision>
  <dcterms:created xsi:type="dcterms:W3CDTF">2026-10-07T18:23:19Z</dcterms:created>
  <dcterms:modified xsi:type="dcterms:W3CDTF">2026-10-21T12:53:11Z</dcterms:modified>
  <dc:language>en-US</dc:language>
</cp:coreProperties>
</file>